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ctrlProps/ctrlProp1.xml" ContentType="application/vnd.ms-excel.controlproperties+xml"/>
  <Override PartName="/xl/comments2.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omments3.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16"/>
  <workbookPr/>
  <mc:AlternateContent xmlns:mc="http://schemas.openxmlformats.org/markup-compatibility/2006">
    <mc:Choice Requires="x15">
      <x15ac:absPath xmlns:x15ac="http://schemas.microsoft.com/office/spreadsheetml/2010/11/ac" url="/Users/shreyas/Downloads/"/>
    </mc:Choice>
  </mc:AlternateContent>
  <xr:revisionPtr revIDLastSave="0" documentId="8_{EA1DB9C2-7498-40C4-B359-459E8AFD8034}" xr6:coauthVersionLast="47" xr6:coauthVersionMax="47" xr10:uidLastSave="{00000000-0000-0000-0000-000000000000}"/>
  <bookViews>
    <workbookView xWindow="4320" yWindow="620" windowWidth="24480" windowHeight="16080" firstSheet="9" activeTab="9" xr2:uid="{00000000-000D-0000-FFFF-FFFF00000000}"/>
  </bookViews>
  <sheets>
    <sheet name="Historical Financials" sheetId="4" r:id="rId1"/>
    <sheet name="Consol. Historical FS" sheetId="2" r:id="rId2"/>
    <sheet name="Consol. Common Size FS" sheetId="3" r:id="rId3"/>
    <sheet name="2Q26 Performance" sheetId="29" r:id="rId4"/>
    <sheet name="Projected Financials" sheetId="5" r:id="rId5"/>
    <sheet name="3 Model Projected FS" sheetId="6" r:id="rId6"/>
    <sheet name="Financial Ratios" sheetId="25" r:id="rId7"/>
    <sheet name="Summary_3 Model Projected FS" sheetId="24" r:id="rId8"/>
    <sheet name="Scenarios" sheetId="23" r:id="rId9"/>
    <sheet name="Other Data" sheetId="16" r:id="rId10"/>
    <sheet name="Graphs" sheetId="26" r:id="rId11"/>
    <sheet name="Peer Comparison" sheetId="30" r:id="rId12"/>
    <sheet name="Shareholding Pattern" sheetId="18" r:id="rId13"/>
    <sheet name="Contingent Liabilities" sheetId="22" r:id="rId14"/>
    <sheet name="Dividend" sheetId="21" r:id="rId15"/>
    <sheet name="Credit Rating" sheetId="27" r:id="rId16"/>
  </sheets>
  <externalReferences>
    <externalReference r:id="rId17"/>
    <externalReference r:id="rId18"/>
    <externalReference r:id="rId19"/>
  </externalReferences>
  <definedNames>
    <definedName name="UPDATE">'[1]Data Sheet'!$E$1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0" i="6" l="1"/>
  <c r="C9" i="6"/>
  <c r="K429" i="23"/>
  <c r="K426" i="23"/>
  <c r="G428" i="23"/>
  <c r="G429" i="23"/>
  <c r="F429" i="23"/>
  <c r="G129" i="2"/>
  <c r="D25" i="26"/>
  <c r="C10" i="3"/>
  <c r="C12" i="3"/>
  <c r="C409" i="23"/>
  <c r="M12" i="30"/>
  <c r="K22" i="29"/>
  <c r="K29" i="29"/>
  <c r="K28" i="29"/>
  <c r="K27" i="29"/>
  <c r="K26" i="29"/>
  <c r="H29" i="29"/>
  <c r="H28" i="29"/>
  <c r="H27" i="29"/>
  <c r="H26" i="29"/>
  <c r="F29" i="29"/>
  <c r="F28" i="29"/>
  <c r="F27" i="29"/>
  <c r="F26" i="29"/>
  <c r="K25" i="29"/>
  <c r="H25" i="29"/>
  <c r="F25" i="29"/>
  <c r="K21" i="29"/>
  <c r="K20" i="29"/>
  <c r="H22" i="29"/>
  <c r="H21" i="29"/>
  <c r="H20" i="29"/>
  <c r="K19" i="29"/>
  <c r="H19" i="29"/>
  <c r="F22" i="29"/>
  <c r="F21" i="29"/>
  <c r="F20" i="29"/>
  <c r="F19" i="29"/>
  <c r="J22" i="29"/>
  <c r="I22" i="29"/>
  <c r="I21" i="29"/>
  <c r="I20" i="29"/>
  <c r="I19" i="29"/>
  <c r="G22" i="29"/>
  <c r="E22" i="29"/>
  <c r="D22" i="29"/>
  <c r="J14" i="29"/>
  <c r="I14" i="29"/>
  <c r="G14" i="29"/>
  <c r="E14" i="29"/>
  <c r="D14" i="29"/>
  <c r="J12" i="29"/>
  <c r="G12" i="29"/>
  <c r="E12" i="29"/>
  <c r="D12" i="29"/>
  <c r="F12" i="29" s="1"/>
  <c r="J7" i="29"/>
  <c r="G7" i="29"/>
  <c r="K15" i="29"/>
  <c r="K14" i="29"/>
  <c r="K13" i="29"/>
  <c r="K11" i="29"/>
  <c r="H15" i="29"/>
  <c r="H14" i="29"/>
  <c r="H13" i="29"/>
  <c r="H11" i="29"/>
  <c r="F15" i="29"/>
  <c r="F14" i="29"/>
  <c r="F13" i="29"/>
  <c r="F11" i="29"/>
  <c r="E7" i="29"/>
  <c r="D7" i="29"/>
  <c r="I6" i="29"/>
  <c r="H6" i="29"/>
  <c r="F6" i="29"/>
  <c r="G39" i="30"/>
  <c r="G40" i="30"/>
  <c r="D40" i="30"/>
  <c r="D39" i="30"/>
  <c r="G38" i="30"/>
  <c r="G37" i="30"/>
  <c r="D37" i="30"/>
  <c r="D38" i="30"/>
  <c r="I37" i="30"/>
  <c r="K28" i="30"/>
  <c r="J28" i="30"/>
  <c r="I28" i="30"/>
  <c r="I27" i="30"/>
  <c r="J27" i="30"/>
  <c r="K27" i="30"/>
  <c r="K25" i="30"/>
  <c r="F14" i="30"/>
  <c r="G14" i="30"/>
  <c r="H14" i="30"/>
  <c r="C33" i="30"/>
  <c r="E32" i="30"/>
  <c r="D32" i="30"/>
  <c r="C32" i="30"/>
  <c r="E31" i="30"/>
  <c r="D31" i="30"/>
  <c r="C31" i="30"/>
  <c r="E30" i="30"/>
  <c r="D30" i="30"/>
  <c r="C30" i="30"/>
  <c r="E28" i="30"/>
  <c r="D28" i="30"/>
  <c r="C28" i="30"/>
  <c r="E27" i="30"/>
  <c r="D27" i="30"/>
  <c r="C27" i="30"/>
  <c r="E20" i="30"/>
  <c r="D20" i="30"/>
  <c r="C20" i="30"/>
  <c r="E17" i="30"/>
  <c r="D17" i="30"/>
  <c r="C17" i="30"/>
  <c r="E14" i="30"/>
  <c r="D14" i="30"/>
  <c r="C14" i="30"/>
  <c r="E11" i="30"/>
  <c r="D11" i="30"/>
  <c r="C11" i="30"/>
  <c r="K1" i="30"/>
  <c r="H43" i="30"/>
  <c r="K43" i="30" s="1"/>
  <c r="G43" i="30"/>
  <c r="J43" i="30" s="1"/>
  <c r="F43" i="30"/>
  <c r="I43" i="30" s="1"/>
  <c r="I40" i="30"/>
  <c r="I39" i="30"/>
  <c r="I38" i="30"/>
  <c r="K33" i="30"/>
  <c r="J33" i="30"/>
  <c r="I33" i="30"/>
  <c r="G33" i="30"/>
  <c r="F33" i="30"/>
  <c r="D33" i="30"/>
  <c r="K26" i="30"/>
  <c r="J26" i="30"/>
  <c r="I26" i="30"/>
  <c r="H26" i="30"/>
  <c r="G26" i="30"/>
  <c r="F26" i="30"/>
  <c r="J25" i="30"/>
  <c r="I25" i="30"/>
  <c r="H25" i="30"/>
  <c r="G25" i="30"/>
  <c r="F25" i="30"/>
  <c r="K21" i="30"/>
  <c r="J21" i="30"/>
  <c r="H21" i="30"/>
  <c r="G21" i="30"/>
  <c r="K18" i="30"/>
  <c r="J18" i="30"/>
  <c r="H18" i="30"/>
  <c r="G18" i="30"/>
  <c r="I24" i="30"/>
  <c r="F24" i="30"/>
  <c r="K12" i="30"/>
  <c r="J12" i="30"/>
  <c r="H12" i="30"/>
  <c r="G12" i="30"/>
  <c r="H10" i="30"/>
  <c r="G10" i="30"/>
  <c r="F10" i="30"/>
  <c r="F26" i="26"/>
  <c r="E26" i="26"/>
  <c r="D26" i="26"/>
  <c r="I177" i="6"/>
  <c r="H177" i="6"/>
  <c r="H16" i="18"/>
  <c r="G16" i="18"/>
  <c r="F16" i="18"/>
  <c r="E16" i="18"/>
  <c r="D16" i="18"/>
  <c r="C16" i="18"/>
  <c r="H19" i="18"/>
  <c r="I384" i="23"/>
  <c r="H384" i="23"/>
  <c r="G384" i="23"/>
  <c r="F384" i="23"/>
  <c r="F9" i="26"/>
  <c r="E9" i="26"/>
  <c r="D9" i="26"/>
  <c r="E4" i="26"/>
  <c r="F4" i="26"/>
  <c r="G4" i="26"/>
  <c r="H4" i="26"/>
  <c r="D5" i="26"/>
  <c r="E5" i="26"/>
  <c r="F5" i="26"/>
  <c r="G5" i="26"/>
  <c r="H5" i="26"/>
  <c r="D6" i="26"/>
  <c r="E6" i="26"/>
  <c r="F6" i="26"/>
  <c r="D7" i="26"/>
  <c r="E7" i="26"/>
  <c r="D11" i="26"/>
  <c r="E11" i="26"/>
  <c r="F11" i="26"/>
  <c r="G11" i="26"/>
  <c r="H11" i="26"/>
  <c r="D12" i="26"/>
  <c r="E12" i="26"/>
  <c r="F12" i="26"/>
  <c r="G12" i="26"/>
  <c r="H12" i="26"/>
  <c r="D14" i="26"/>
  <c r="E14" i="26"/>
  <c r="F14" i="26"/>
  <c r="G14" i="26"/>
  <c r="H14" i="26"/>
  <c r="D15" i="26"/>
  <c r="E15" i="26"/>
  <c r="F15" i="26"/>
  <c r="D16" i="26"/>
  <c r="E16" i="26"/>
  <c r="F16" i="26"/>
  <c r="G16" i="26"/>
  <c r="H16" i="26"/>
  <c r="D17" i="26"/>
  <c r="C15" i="25" s="1"/>
  <c r="E17" i="26"/>
  <c r="D15" i="25" s="1"/>
  <c r="F17" i="26"/>
  <c r="E15" i="25" s="1"/>
  <c r="G17" i="26"/>
  <c r="F15" i="25" s="1"/>
  <c r="H17" i="26"/>
  <c r="G15" i="25" s="1"/>
  <c r="D18" i="26"/>
  <c r="E18" i="26"/>
  <c r="F18" i="26"/>
  <c r="G18" i="26"/>
  <c r="H18" i="26"/>
  <c r="D19" i="26"/>
  <c r="C17" i="25" s="1"/>
  <c r="E19" i="26"/>
  <c r="D17" i="25" s="1"/>
  <c r="F19" i="26"/>
  <c r="E17" i="25" s="1"/>
  <c r="G19" i="26"/>
  <c r="F17" i="25" s="1"/>
  <c r="H19" i="26"/>
  <c r="G17" i="25" s="1"/>
  <c r="D20" i="26"/>
  <c r="E20" i="26"/>
  <c r="F20" i="26"/>
  <c r="G20" i="26"/>
  <c r="H20" i="26"/>
  <c r="D21" i="26"/>
  <c r="C16" i="25" s="1"/>
  <c r="E21" i="26"/>
  <c r="D16" i="25" s="1"/>
  <c r="F21" i="26"/>
  <c r="E16" i="25" s="1"/>
  <c r="G21" i="26"/>
  <c r="F16" i="25" s="1"/>
  <c r="H21" i="26"/>
  <c r="G16" i="25" s="1"/>
  <c r="D23" i="26"/>
  <c r="C9" i="25" s="1"/>
  <c r="E23" i="26"/>
  <c r="D9" i="25" s="1"/>
  <c r="F23" i="26"/>
  <c r="E9" i="25" s="1"/>
  <c r="D24" i="26"/>
  <c r="C10" i="25" s="1"/>
  <c r="E24" i="26"/>
  <c r="D10" i="25" s="1"/>
  <c r="F24" i="26"/>
  <c r="E10" i="25" s="1"/>
  <c r="E25" i="26"/>
  <c r="F25" i="26"/>
  <c r="D28" i="26"/>
  <c r="E28" i="26"/>
  <c r="F28" i="26"/>
  <c r="D29" i="26"/>
  <c r="E29" i="26"/>
  <c r="F29" i="26"/>
  <c r="D31" i="26"/>
  <c r="E31" i="26"/>
  <c r="F31" i="26"/>
  <c r="D32" i="26"/>
  <c r="E32" i="26"/>
  <c r="F32" i="26"/>
  <c r="D34" i="26"/>
  <c r="E34" i="26"/>
  <c r="F34" i="26"/>
  <c r="D35" i="26"/>
  <c r="E35" i="26"/>
  <c r="F35" i="26"/>
  <c r="D4" i="26"/>
  <c r="C24" i="26"/>
  <c r="C23" i="26"/>
  <c r="C9" i="26"/>
  <c r="F10" i="26"/>
  <c r="E13" i="25" s="1"/>
  <c r="E10" i="26"/>
  <c r="D13" i="25" s="1"/>
  <c r="D10" i="26"/>
  <c r="C13" i="25" s="1"/>
  <c r="C4" i="26"/>
  <c r="C10" i="26" s="1"/>
  <c r="H3" i="26"/>
  <c r="G3" i="26"/>
  <c r="F3" i="26"/>
  <c r="E3" i="26"/>
  <c r="D3" i="26"/>
  <c r="C3" i="26"/>
  <c r="H1" i="26"/>
  <c r="H392" i="23"/>
  <c r="I392" i="23"/>
  <c r="J393" i="23"/>
  <c r="I393" i="23"/>
  <c r="G393" i="23"/>
  <c r="H393" i="23"/>
  <c r="F393" i="23"/>
  <c r="F396" i="23"/>
  <c r="H396" i="23"/>
  <c r="D4" i="21"/>
  <c r="E4" i="21"/>
  <c r="F4" i="21"/>
  <c r="G4" i="21"/>
  <c r="C5" i="21"/>
  <c r="E5" i="21"/>
  <c r="C6" i="21"/>
  <c r="E6" i="21"/>
  <c r="C4" i="21"/>
  <c r="E3" i="25"/>
  <c r="D3" i="25"/>
  <c r="C3" i="25"/>
  <c r="C5" i="25"/>
  <c r="D5" i="25"/>
  <c r="E5" i="25"/>
  <c r="F5" i="25"/>
  <c r="G5" i="25"/>
  <c r="C6" i="25"/>
  <c r="D6" i="25"/>
  <c r="E6" i="25"/>
  <c r="F6" i="25"/>
  <c r="G6" i="25"/>
  <c r="C7" i="25"/>
  <c r="D7" i="25"/>
  <c r="E7" i="25"/>
  <c r="F7" i="25"/>
  <c r="G7" i="25"/>
  <c r="C8" i="25"/>
  <c r="D8" i="25"/>
  <c r="E8" i="25"/>
  <c r="C11" i="25"/>
  <c r="D11" i="25"/>
  <c r="E11" i="25"/>
  <c r="C18" i="25"/>
  <c r="D18" i="25"/>
  <c r="E18" i="25"/>
  <c r="C19" i="25"/>
  <c r="D19" i="25"/>
  <c r="E19" i="25"/>
  <c r="C20" i="25"/>
  <c r="D20" i="25"/>
  <c r="G14" i="25"/>
  <c r="F14" i="25"/>
  <c r="E14" i="25"/>
  <c r="D14" i="25"/>
  <c r="C14" i="25"/>
  <c r="G1" i="25"/>
  <c r="F8" i="24"/>
  <c r="D7" i="24"/>
  <c r="E7" i="24"/>
  <c r="C9" i="24"/>
  <c r="D9" i="24"/>
  <c r="E9" i="24"/>
  <c r="C12" i="24"/>
  <c r="D12" i="24"/>
  <c r="E12" i="24"/>
  <c r="C13" i="24"/>
  <c r="D13" i="24"/>
  <c r="E13" i="24"/>
  <c r="C16" i="24"/>
  <c r="D16" i="24"/>
  <c r="E16" i="24"/>
  <c r="C18" i="24"/>
  <c r="D18" i="24"/>
  <c r="E18" i="24"/>
  <c r="C19" i="24"/>
  <c r="D19" i="24"/>
  <c r="E19" i="24"/>
  <c r="C21" i="24"/>
  <c r="D21" i="24"/>
  <c r="E21" i="24"/>
  <c r="C23" i="24"/>
  <c r="D23" i="24"/>
  <c r="E23" i="24"/>
  <c r="C25" i="24"/>
  <c r="D25" i="24"/>
  <c r="E25" i="24"/>
  <c r="D27" i="24"/>
  <c r="E27" i="24"/>
  <c r="C30" i="24"/>
  <c r="D30" i="24"/>
  <c r="E30" i="24"/>
  <c r="C31" i="24"/>
  <c r="D31" i="24"/>
  <c r="E31" i="24"/>
  <c r="C37" i="24"/>
  <c r="D37" i="24"/>
  <c r="E37" i="24"/>
  <c r="C38" i="24"/>
  <c r="D38" i="24"/>
  <c r="E38" i="24"/>
  <c r="C39" i="24"/>
  <c r="D39" i="24"/>
  <c r="E39" i="24"/>
  <c r="C40" i="24"/>
  <c r="D40" i="24"/>
  <c r="E40" i="24"/>
  <c r="C41" i="24"/>
  <c r="D41" i="24"/>
  <c r="E41" i="24"/>
  <c r="C42" i="24"/>
  <c r="D42" i="24"/>
  <c r="E42" i="24"/>
  <c r="C43" i="24"/>
  <c r="D43" i="24"/>
  <c r="E43" i="24"/>
  <c r="C44" i="24"/>
  <c r="D44" i="24"/>
  <c r="E44" i="24"/>
  <c r="C48" i="24"/>
  <c r="D48" i="24"/>
  <c r="E48" i="24"/>
  <c r="C49" i="24"/>
  <c r="D49" i="24"/>
  <c r="E49" i="24"/>
  <c r="C50" i="24"/>
  <c r="D50" i="24"/>
  <c r="E50" i="24"/>
  <c r="C51" i="24"/>
  <c r="D51" i="24"/>
  <c r="E51" i="24"/>
  <c r="C52" i="24"/>
  <c r="D52" i="24"/>
  <c r="E52" i="24"/>
  <c r="C53" i="24"/>
  <c r="D53" i="24"/>
  <c r="E53" i="24"/>
  <c r="C55" i="24"/>
  <c r="D55" i="24"/>
  <c r="E55" i="24"/>
  <c r="C60" i="24"/>
  <c r="D60" i="24"/>
  <c r="E60" i="24"/>
  <c r="C61" i="24"/>
  <c r="D61" i="24"/>
  <c r="E61" i="24"/>
  <c r="C63" i="24"/>
  <c r="D63" i="24"/>
  <c r="E63" i="24"/>
  <c r="C67" i="24"/>
  <c r="D67" i="24"/>
  <c r="E67" i="24"/>
  <c r="C68" i="24"/>
  <c r="D68" i="24"/>
  <c r="E68" i="24"/>
  <c r="C69" i="24"/>
  <c r="D69" i="24"/>
  <c r="E69" i="24"/>
  <c r="C70" i="24"/>
  <c r="D70" i="24"/>
  <c r="E70" i="24"/>
  <c r="C74" i="24"/>
  <c r="D74" i="24"/>
  <c r="E74" i="24"/>
  <c r="C75" i="24"/>
  <c r="D75" i="24"/>
  <c r="E75" i="24"/>
  <c r="C76" i="24"/>
  <c r="D76" i="24"/>
  <c r="E76" i="24"/>
  <c r="C77" i="24"/>
  <c r="D77" i="24"/>
  <c r="E77" i="24"/>
  <c r="C78" i="24"/>
  <c r="D78" i="24"/>
  <c r="E78" i="24"/>
  <c r="C80" i="24"/>
  <c r="D80" i="24"/>
  <c r="E80" i="24"/>
  <c r="C91" i="24"/>
  <c r="D91" i="24"/>
  <c r="E91" i="24"/>
  <c r="C92" i="24"/>
  <c r="D92" i="24"/>
  <c r="E92" i="24"/>
  <c r="C93" i="24"/>
  <c r="D93" i="24"/>
  <c r="E93" i="24"/>
  <c r="C7" i="24"/>
  <c r="F7" i="24"/>
  <c r="G7" i="24"/>
  <c r="H7" i="24"/>
  <c r="I7" i="24"/>
  <c r="F9" i="24"/>
  <c r="G9" i="24"/>
  <c r="H9" i="24"/>
  <c r="I9" i="24"/>
  <c r="F12" i="24"/>
  <c r="G12" i="24"/>
  <c r="H12" i="24"/>
  <c r="I12" i="24"/>
  <c r="F13" i="24"/>
  <c r="G13" i="24"/>
  <c r="H13" i="24"/>
  <c r="I13" i="24"/>
  <c r="F16" i="24"/>
  <c r="G16" i="24"/>
  <c r="F18" i="24"/>
  <c r="G18" i="24"/>
  <c r="H18" i="24"/>
  <c r="I18" i="24"/>
  <c r="F19" i="24"/>
  <c r="G19" i="24"/>
  <c r="H19" i="24"/>
  <c r="I19" i="24"/>
  <c r="F21" i="24"/>
  <c r="G21" i="24"/>
  <c r="H21" i="24"/>
  <c r="I21" i="24"/>
  <c r="F23" i="24"/>
  <c r="G23" i="24"/>
  <c r="H23" i="24"/>
  <c r="I23" i="24"/>
  <c r="F25" i="24"/>
  <c r="G25" i="24"/>
  <c r="F27" i="24"/>
  <c r="G27" i="24"/>
  <c r="F30" i="24"/>
  <c r="G30" i="24"/>
  <c r="F31" i="24"/>
  <c r="G31" i="24"/>
  <c r="F37" i="24"/>
  <c r="G37" i="24"/>
  <c r="F38" i="24"/>
  <c r="G38" i="24"/>
  <c r="F39" i="24"/>
  <c r="G39" i="24"/>
  <c r="F40" i="24"/>
  <c r="G40" i="24"/>
  <c r="F41" i="24"/>
  <c r="G41" i="24"/>
  <c r="H41" i="24"/>
  <c r="I41" i="24"/>
  <c r="F42" i="24"/>
  <c r="G42" i="24"/>
  <c r="H42" i="24"/>
  <c r="I42" i="24"/>
  <c r="F43" i="24"/>
  <c r="G43" i="24"/>
  <c r="H43" i="24"/>
  <c r="I43" i="24"/>
  <c r="F44" i="24"/>
  <c r="G44" i="24"/>
  <c r="H44" i="24"/>
  <c r="I44" i="24"/>
  <c r="F48" i="24"/>
  <c r="G48" i="24"/>
  <c r="H48" i="24"/>
  <c r="I48" i="24"/>
  <c r="F49" i="24"/>
  <c r="G49" i="24"/>
  <c r="H49" i="24"/>
  <c r="I49" i="24"/>
  <c r="F50" i="24"/>
  <c r="G50" i="24"/>
  <c r="H50" i="24"/>
  <c r="I50" i="24"/>
  <c r="F51" i="24"/>
  <c r="G51" i="24"/>
  <c r="F52" i="24"/>
  <c r="G52" i="24"/>
  <c r="H52" i="24"/>
  <c r="I52" i="24"/>
  <c r="F53" i="24"/>
  <c r="G53" i="24"/>
  <c r="H53" i="24"/>
  <c r="I53" i="24"/>
  <c r="F55" i="24"/>
  <c r="G55" i="24"/>
  <c r="H55" i="24"/>
  <c r="I55" i="24"/>
  <c r="F60" i="24"/>
  <c r="G60" i="24"/>
  <c r="H60" i="24"/>
  <c r="I60" i="24"/>
  <c r="F61" i="24"/>
  <c r="G61" i="24"/>
  <c r="F63" i="24"/>
  <c r="G63" i="24"/>
  <c r="H63" i="24"/>
  <c r="I63" i="24"/>
  <c r="F67" i="24"/>
  <c r="G67" i="24"/>
  <c r="H67" i="24"/>
  <c r="I67" i="24"/>
  <c r="F68" i="24"/>
  <c r="G68" i="24"/>
  <c r="H68" i="24"/>
  <c r="I68" i="24"/>
  <c r="F69" i="24"/>
  <c r="G69" i="24"/>
  <c r="H69" i="24"/>
  <c r="I69" i="24"/>
  <c r="F70" i="24"/>
  <c r="G70" i="24"/>
  <c r="H70" i="24"/>
  <c r="I70" i="24"/>
  <c r="F74" i="24"/>
  <c r="G74" i="24"/>
  <c r="F75" i="24"/>
  <c r="G75" i="24"/>
  <c r="F76" i="24"/>
  <c r="G76" i="24"/>
  <c r="H76" i="24"/>
  <c r="I76" i="24"/>
  <c r="F77" i="24"/>
  <c r="G77" i="24"/>
  <c r="H77" i="24"/>
  <c r="I77" i="24"/>
  <c r="F78" i="24"/>
  <c r="G78" i="24"/>
  <c r="H78" i="24"/>
  <c r="I78" i="24"/>
  <c r="F80" i="24"/>
  <c r="G80" i="24"/>
  <c r="H80" i="24"/>
  <c r="I80" i="24"/>
  <c r="F87" i="24"/>
  <c r="F88" i="24"/>
  <c r="G88" i="24"/>
  <c r="F89" i="24"/>
  <c r="F90" i="24"/>
  <c r="F91" i="24"/>
  <c r="G91" i="24"/>
  <c r="H91" i="24"/>
  <c r="F92" i="24"/>
  <c r="G92" i="24"/>
  <c r="H92" i="24"/>
  <c r="I92" i="24"/>
  <c r="F93" i="24"/>
  <c r="G93" i="24"/>
  <c r="E87" i="24"/>
  <c r="D87" i="24"/>
  <c r="C87" i="24"/>
  <c r="G79" i="24"/>
  <c r="F79" i="24"/>
  <c r="E79" i="24"/>
  <c r="D79" i="24"/>
  <c r="C79" i="24"/>
  <c r="I71" i="24"/>
  <c r="H71" i="24"/>
  <c r="G71" i="24"/>
  <c r="F71" i="24"/>
  <c r="E71" i="24"/>
  <c r="D71" i="24"/>
  <c r="C71" i="24"/>
  <c r="G62" i="24"/>
  <c r="G64" i="24" s="1"/>
  <c r="G81" i="24" s="1"/>
  <c r="F62" i="24"/>
  <c r="F64" i="24" s="1"/>
  <c r="F81" i="24" s="1"/>
  <c r="E62" i="24"/>
  <c r="E64" i="24" s="1"/>
  <c r="E81" i="24" s="1"/>
  <c r="D62" i="24"/>
  <c r="D64" i="24" s="1"/>
  <c r="D81" i="24" s="1"/>
  <c r="C62" i="24"/>
  <c r="C64" i="24" s="1"/>
  <c r="C81" i="24" s="1"/>
  <c r="G54" i="24"/>
  <c r="F54" i="24"/>
  <c r="E54" i="24"/>
  <c r="D54" i="24"/>
  <c r="C54" i="24"/>
  <c r="G45" i="24"/>
  <c r="G56" i="24" s="1"/>
  <c r="G83" i="24" s="1"/>
  <c r="F45" i="24"/>
  <c r="F56" i="24" s="1"/>
  <c r="F83" i="24" s="1"/>
  <c r="E45" i="24"/>
  <c r="E56" i="24" s="1"/>
  <c r="E83" i="24" s="1"/>
  <c r="D45" i="24"/>
  <c r="D56" i="24" s="1"/>
  <c r="D83" i="24" s="1"/>
  <c r="C45" i="24"/>
  <c r="C56" i="24" s="1"/>
  <c r="C83" i="24" s="1"/>
  <c r="D22" i="24"/>
  <c r="D24" i="24" s="1"/>
  <c r="C10" i="24"/>
  <c r="E3" i="24"/>
  <c r="D3" i="24"/>
  <c r="C3" i="24"/>
  <c r="I1" i="24"/>
  <c r="K177" i="6"/>
  <c r="L177" i="6"/>
  <c r="H48" i="6"/>
  <c r="H39" i="24" s="1"/>
  <c r="I51" i="6"/>
  <c r="H51" i="6"/>
  <c r="I23" i="6"/>
  <c r="H23" i="6"/>
  <c r="L418" i="23"/>
  <c r="K418" i="23"/>
  <c r="C433" i="23"/>
  <c r="C432" i="23"/>
  <c r="K430" i="23"/>
  <c r="J426" i="23"/>
  <c r="I426" i="23"/>
  <c r="H426" i="23"/>
  <c r="G426" i="23"/>
  <c r="F426" i="23"/>
  <c r="J429" i="23"/>
  <c r="I429" i="23"/>
  <c r="H429" i="23"/>
  <c r="L433" i="23"/>
  <c r="K433" i="23"/>
  <c r="L432" i="23"/>
  <c r="K432" i="23"/>
  <c r="L430" i="23"/>
  <c r="J427" i="23"/>
  <c r="I427" i="23"/>
  <c r="H427" i="23"/>
  <c r="G427" i="23"/>
  <c r="F427" i="23"/>
  <c r="L419" i="23"/>
  <c r="K419" i="23"/>
  <c r="C422" i="23"/>
  <c r="C421" i="23"/>
  <c r="J418" i="23"/>
  <c r="J419" i="23" s="1"/>
  <c r="I418" i="23"/>
  <c r="I419" i="23" s="1"/>
  <c r="H418" i="23"/>
  <c r="H419" i="23" s="1"/>
  <c r="G418" i="23"/>
  <c r="G419" i="23" s="1"/>
  <c r="F418" i="23"/>
  <c r="F419" i="23" s="1"/>
  <c r="C416" i="23"/>
  <c r="H407" i="23"/>
  <c r="G407" i="23"/>
  <c r="F407" i="23"/>
  <c r="I407" i="23"/>
  <c r="H413" i="23"/>
  <c r="G413" i="23"/>
  <c r="F413" i="23"/>
  <c r="C415" i="23"/>
  <c r="C410" i="23"/>
  <c r="J413" i="23"/>
  <c r="I413" i="23"/>
  <c r="L412" i="23"/>
  <c r="K412" i="23"/>
  <c r="K413" i="23" s="1"/>
  <c r="L413" i="23" s="1"/>
  <c r="J407" i="23"/>
  <c r="L406" i="23"/>
  <c r="K406" i="23"/>
  <c r="L410" i="23"/>
  <c r="K410" i="23"/>
  <c r="L409" i="23"/>
  <c r="K409" i="23"/>
  <c r="C72" i="23"/>
  <c r="C73" i="23"/>
  <c r="C57" i="23"/>
  <c r="C56" i="23"/>
  <c r="L56" i="23" s="1"/>
  <c r="K72" i="23"/>
  <c r="L72" i="23"/>
  <c r="K98" i="23"/>
  <c r="L98" i="23"/>
  <c r="C233" i="23"/>
  <c r="C232" i="23"/>
  <c r="J156" i="23"/>
  <c r="I156" i="23"/>
  <c r="H156" i="23"/>
  <c r="G156" i="23"/>
  <c r="H128" i="6"/>
  <c r="I128" i="6"/>
  <c r="H129" i="6"/>
  <c r="I129" i="6"/>
  <c r="H130" i="6"/>
  <c r="I130" i="6"/>
  <c r="H131" i="6"/>
  <c r="I131" i="6"/>
  <c r="H134" i="6"/>
  <c r="I134" i="6"/>
  <c r="H135" i="6"/>
  <c r="I135" i="6"/>
  <c r="H136" i="6"/>
  <c r="I136" i="6"/>
  <c r="H138" i="6"/>
  <c r="I138" i="6"/>
  <c r="H139" i="6"/>
  <c r="I139" i="6"/>
  <c r="H140" i="6"/>
  <c r="I140" i="6"/>
  <c r="H142" i="6"/>
  <c r="I142" i="6"/>
  <c r="H161" i="6"/>
  <c r="I161" i="6"/>
  <c r="H162" i="6"/>
  <c r="I162" i="6"/>
  <c r="H164" i="6"/>
  <c r="I164" i="6"/>
  <c r="H165" i="6"/>
  <c r="I165" i="6"/>
  <c r="H166" i="6"/>
  <c r="I166" i="6"/>
  <c r="H167" i="6"/>
  <c r="I167" i="6"/>
  <c r="H168" i="6"/>
  <c r="I168" i="6"/>
  <c r="H170" i="6"/>
  <c r="I170" i="6"/>
  <c r="H171" i="6"/>
  <c r="I171" i="6"/>
  <c r="H176" i="6"/>
  <c r="I176" i="6"/>
  <c r="H180" i="6"/>
  <c r="I180" i="6"/>
  <c r="H182" i="6"/>
  <c r="I182" i="6"/>
  <c r="H183" i="6"/>
  <c r="I183" i="6"/>
  <c r="H186" i="6"/>
  <c r="I186" i="6"/>
  <c r="H188" i="6"/>
  <c r="I188" i="6"/>
  <c r="H189" i="6"/>
  <c r="I189" i="6"/>
  <c r="C41" i="23"/>
  <c r="C40" i="23"/>
  <c r="C387" i="23"/>
  <c r="C386" i="23"/>
  <c r="C379" i="23"/>
  <c r="C378" i="23"/>
  <c r="G350" i="23"/>
  <c r="H350" i="23"/>
  <c r="I350" i="23"/>
  <c r="J350" i="23"/>
  <c r="F351" i="23"/>
  <c r="G351" i="23"/>
  <c r="H351" i="23"/>
  <c r="I351" i="23"/>
  <c r="J351" i="23"/>
  <c r="F352" i="23"/>
  <c r="G352" i="23"/>
  <c r="H352" i="23"/>
  <c r="I352" i="23"/>
  <c r="J352" i="23"/>
  <c r="F353" i="23"/>
  <c r="G353" i="23"/>
  <c r="H353" i="23"/>
  <c r="I353" i="23"/>
  <c r="J353" i="23"/>
  <c r="F354" i="23"/>
  <c r="G354" i="23"/>
  <c r="H354" i="23"/>
  <c r="I354" i="23"/>
  <c r="J354" i="23"/>
  <c r="F355" i="23"/>
  <c r="G355" i="23"/>
  <c r="H355" i="23"/>
  <c r="I355" i="23"/>
  <c r="J355" i="23"/>
  <c r="F356" i="23"/>
  <c r="G356" i="23"/>
  <c r="H356" i="23"/>
  <c r="I356" i="23"/>
  <c r="J356" i="23"/>
  <c r="F357" i="23"/>
  <c r="G357" i="23"/>
  <c r="H357" i="23"/>
  <c r="I357" i="23"/>
  <c r="J357" i="23"/>
  <c r="F358" i="23"/>
  <c r="G358" i="23"/>
  <c r="H358" i="23"/>
  <c r="I358" i="23"/>
  <c r="J358" i="23"/>
  <c r="F359" i="23"/>
  <c r="G359" i="23"/>
  <c r="H359" i="23"/>
  <c r="I359" i="23"/>
  <c r="J359" i="23"/>
  <c r="F360" i="23"/>
  <c r="G360" i="23"/>
  <c r="H360" i="23"/>
  <c r="I360" i="23"/>
  <c r="J360" i="23"/>
  <c r="F361" i="23"/>
  <c r="G361" i="23"/>
  <c r="H361" i="23"/>
  <c r="I361" i="23"/>
  <c r="J361" i="23"/>
  <c r="F350" i="23"/>
  <c r="G332" i="23"/>
  <c r="H332" i="23"/>
  <c r="I332" i="23"/>
  <c r="J332" i="23"/>
  <c r="F333" i="23"/>
  <c r="G333" i="23"/>
  <c r="H333" i="23"/>
  <c r="I333" i="23"/>
  <c r="J333" i="23"/>
  <c r="F334" i="23"/>
  <c r="G334" i="23"/>
  <c r="H334" i="23"/>
  <c r="I334" i="23"/>
  <c r="J334" i="23"/>
  <c r="F335" i="23"/>
  <c r="G335" i="23"/>
  <c r="H335" i="23"/>
  <c r="I335" i="23"/>
  <c r="J335" i="23"/>
  <c r="F336" i="23"/>
  <c r="G336" i="23"/>
  <c r="H336" i="23"/>
  <c r="I336" i="23"/>
  <c r="J336" i="23"/>
  <c r="F337" i="23"/>
  <c r="G337" i="23"/>
  <c r="H337" i="23"/>
  <c r="I337" i="23"/>
  <c r="J337" i="23"/>
  <c r="F338" i="23"/>
  <c r="G338" i="23"/>
  <c r="H338" i="23"/>
  <c r="I338" i="23"/>
  <c r="J338" i="23"/>
  <c r="F339" i="23"/>
  <c r="G339" i="23"/>
  <c r="H339" i="23"/>
  <c r="I339" i="23"/>
  <c r="J339" i="23"/>
  <c r="F340" i="23"/>
  <c r="G340" i="23"/>
  <c r="H340" i="23"/>
  <c r="I340" i="23"/>
  <c r="J340" i="23"/>
  <c r="F341" i="23"/>
  <c r="G341" i="23"/>
  <c r="H341" i="23"/>
  <c r="I341" i="23"/>
  <c r="J341" i="23"/>
  <c r="F342" i="23"/>
  <c r="G342" i="23"/>
  <c r="H342" i="23"/>
  <c r="I342" i="23"/>
  <c r="J342" i="23"/>
  <c r="F343" i="23"/>
  <c r="G343" i="23"/>
  <c r="H343" i="23"/>
  <c r="I343" i="23"/>
  <c r="J343" i="23"/>
  <c r="F344" i="23"/>
  <c r="G344" i="23"/>
  <c r="H344" i="23"/>
  <c r="I344" i="23"/>
  <c r="J344" i="23"/>
  <c r="F345" i="23"/>
  <c r="G345" i="23"/>
  <c r="H345" i="23"/>
  <c r="I345" i="23"/>
  <c r="J345" i="23"/>
  <c r="F346" i="23"/>
  <c r="G346" i="23"/>
  <c r="H346" i="23"/>
  <c r="I346" i="23"/>
  <c r="J346" i="23"/>
  <c r="F332" i="23"/>
  <c r="J318" i="23"/>
  <c r="I318" i="23"/>
  <c r="H318" i="23"/>
  <c r="G324" i="23"/>
  <c r="H324" i="23"/>
  <c r="I324" i="23"/>
  <c r="J324" i="23"/>
  <c r="G318" i="23"/>
  <c r="J311" i="23"/>
  <c r="I311" i="23"/>
  <c r="H311" i="23"/>
  <c r="G311" i="23"/>
  <c r="J305" i="23"/>
  <c r="I305" i="23"/>
  <c r="H305" i="23"/>
  <c r="G305" i="23"/>
  <c r="J299" i="23"/>
  <c r="I299" i="23"/>
  <c r="H299" i="23"/>
  <c r="G299" i="23"/>
  <c r="F299" i="23"/>
  <c r="J298" i="23"/>
  <c r="I298" i="23"/>
  <c r="H298" i="23"/>
  <c r="G298" i="23"/>
  <c r="F298" i="23"/>
  <c r="J297" i="23"/>
  <c r="I297" i="23"/>
  <c r="H297" i="23"/>
  <c r="G297" i="23"/>
  <c r="F297" i="23"/>
  <c r="J296" i="23"/>
  <c r="I296" i="23"/>
  <c r="H296" i="23"/>
  <c r="G296" i="23"/>
  <c r="F296" i="23"/>
  <c r="J295" i="23"/>
  <c r="I295" i="23"/>
  <c r="H295" i="23"/>
  <c r="G295" i="23"/>
  <c r="J294" i="23"/>
  <c r="I294" i="23"/>
  <c r="H294" i="23"/>
  <c r="G294" i="23"/>
  <c r="F294" i="23"/>
  <c r="J293" i="23"/>
  <c r="I293" i="23"/>
  <c r="J289" i="23"/>
  <c r="I289" i="23"/>
  <c r="H289" i="23"/>
  <c r="G289" i="23"/>
  <c r="F289" i="23"/>
  <c r="J288" i="23"/>
  <c r="I288" i="23"/>
  <c r="H288" i="23"/>
  <c r="G288" i="23"/>
  <c r="F288" i="23"/>
  <c r="J287" i="23"/>
  <c r="I287" i="23"/>
  <c r="H287" i="23"/>
  <c r="G287" i="23"/>
  <c r="F287" i="23"/>
  <c r="J286" i="23"/>
  <c r="I286" i="23"/>
  <c r="H286" i="23"/>
  <c r="G286" i="23"/>
  <c r="F286" i="23"/>
  <c r="J285" i="23"/>
  <c r="I285" i="23"/>
  <c r="H285" i="23"/>
  <c r="G285" i="23"/>
  <c r="F285" i="23"/>
  <c r="J284" i="23"/>
  <c r="I284" i="23"/>
  <c r="H284" i="23"/>
  <c r="G284" i="23"/>
  <c r="J279" i="23"/>
  <c r="I279" i="23"/>
  <c r="H279" i="23"/>
  <c r="G279" i="23"/>
  <c r="F279" i="23"/>
  <c r="J278" i="23"/>
  <c r="I278" i="23"/>
  <c r="H278" i="23"/>
  <c r="G278" i="23"/>
  <c r="F278" i="23"/>
  <c r="J277" i="23"/>
  <c r="I277" i="23"/>
  <c r="H277" i="23"/>
  <c r="G277" i="23"/>
  <c r="F277" i="23"/>
  <c r="H276" i="23"/>
  <c r="G276" i="23"/>
  <c r="F276" i="23"/>
  <c r="J275" i="23"/>
  <c r="I275" i="23"/>
  <c r="H275" i="23"/>
  <c r="G275" i="23"/>
  <c r="F275" i="23"/>
  <c r="J271" i="23"/>
  <c r="I271" i="23"/>
  <c r="H271" i="23"/>
  <c r="G271" i="23"/>
  <c r="F271" i="23"/>
  <c r="J270" i="23"/>
  <c r="I270" i="23"/>
  <c r="H270" i="23"/>
  <c r="G270" i="23"/>
  <c r="F270" i="23"/>
  <c r="J269" i="23"/>
  <c r="I269" i="23"/>
  <c r="H269" i="23"/>
  <c r="G269" i="23"/>
  <c r="F269" i="23"/>
  <c r="J268" i="23"/>
  <c r="I268" i="23"/>
  <c r="H268" i="23"/>
  <c r="G268" i="23"/>
  <c r="F268" i="23"/>
  <c r="J266" i="23"/>
  <c r="I266" i="23"/>
  <c r="H266" i="23"/>
  <c r="G266" i="23"/>
  <c r="F266" i="23"/>
  <c r="J265" i="23"/>
  <c r="I265" i="23"/>
  <c r="H265" i="23"/>
  <c r="G265" i="23"/>
  <c r="F265" i="23"/>
  <c r="J264" i="23"/>
  <c r="I264" i="23"/>
  <c r="H264" i="23"/>
  <c r="G264" i="23"/>
  <c r="F264" i="23"/>
  <c r="J263" i="23"/>
  <c r="I263" i="23"/>
  <c r="H263" i="23"/>
  <c r="G263" i="23"/>
  <c r="F263" i="23"/>
  <c r="J258" i="23"/>
  <c r="I258" i="23"/>
  <c r="H258" i="23"/>
  <c r="G258" i="23"/>
  <c r="F258" i="23"/>
  <c r="J255" i="23"/>
  <c r="I255" i="23"/>
  <c r="H255" i="23"/>
  <c r="G255" i="23"/>
  <c r="F255" i="23"/>
  <c r="J245" i="23"/>
  <c r="I245" i="23"/>
  <c r="H245" i="23"/>
  <c r="G245" i="23"/>
  <c r="F245" i="23"/>
  <c r="C225" i="23"/>
  <c r="C224" i="23"/>
  <c r="J228" i="23"/>
  <c r="I228" i="23"/>
  <c r="H228" i="23"/>
  <c r="G228" i="23"/>
  <c r="F228" i="23"/>
  <c r="J220" i="23"/>
  <c r="I220" i="23"/>
  <c r="H220" i="23"/>
  <c r="G220" i="23"/>
  <c r="F220" i="23"/>
  <c r="I212" i="23"/>
  <c r="H212" i="23"/>
  <c r="G212" i="23"/>
  <c r="F212" i="23"/>
  <c r="K199" i="23"/>
  <c r="J190" i="23"/>
  <c r="I190" i="23"/>
  <c r="H190" i="23"/>
  <c r="G190" i="23"/>
  <c r="F190" i="23"/>
  <c r="C187" i="23"/>
  <c r="C186" i="23"/>
  <c r="J182" i="23"/>
  <c r="I182" i="23"/>
  <c r="H182" i="23"/>
  <c r="G182" i="23"/>
  <c r="F182" i="23"/>
  <c r="F156" i="23"/>
  <c r="K157" i="23"/>
  <c r="K165" i="23"/>
  <c r="L165" i="23" s="1"/>
  <c r="K173" i="23"/>
  <c r="L173" i="23" s="1"/>
  <c r="K134" i="23"/>
  <c r="L134" i="23"/>
  <c r="K95" i="23"/>
  <c r="G98" i="23"/>
  <c r="H98" i="23"/>
  <c r="I98" i="23"/>
  <c r="J98" i="23"/>
  <c r="C102" i="23"/>
  <c r="K102" i="23"/>
  <c r="L102" i="23"/>
  <c r="C103" i="23"/>
  <c r="K103" i="23"/>
  <c r="L103" i="23"/>
  <c r="G110" i="23"/>
  <c r="H110" i="23"/>
  <c r="I110" i="23"/>
  <c r="J110" i="23"/>
  <c r="K110" i="23"/>
  <c r="K107" i="23" s="1"/>
  <c r="L110" i="23"/>
  <c r="C114" i="23"/>
  <c r="K114" i="23"/>
  <c r="L114" i="23"/>
  <c r="C115" i="23"/>
  <c r="K115" i="23"/>
  <c r="L115" i="23"/>
  <c r="I122" i="23"/>
  <c r="J122" i="23"/>
  <c r="K122" i="23"/>
  <c r="K119" i="23" s="1"/>
  <c r="L122" i="23"/>
  <c r="C126" i="23"/>
  <c r="K126" i="23"/>
  <c r="L126" i="23"/>
  <c r="C127" i="23"/>
  <c r="K127" i="23"/>
  <c r="L127" i="23"/>
  <c r="J134" i="23"/>
  <c r="K131" i="23"/>
  <c r="C138" i="23"/>
  <c r="K138" i="23"/>
  <c r="L138" i="23"/>
  <c r="C139" i="23"/>
  <c r="K139" i="23"/>
  <c r="L139" i="23"/>
  <c r="K146" i="23"/>
  <c r="L146" i="23"/>
  <c r="C150" i="23"/>
  <c r="K150" i="23"/>
  <c r="L150" i="23"/>
  <c r="C151" i="23"/>
  <c r="K151" i="23"/>
  <c r="L151" i="23"/>
  <c r="J29" i="23"/>
  <c r="I29" i="23"/>
  <c r="J63" i="23"/>
  <c r="J47" i="23"/>
  <c r="J31" i="23"/>
  <c r="C24" i="23"/>
  <c r="I12" i="29" l="1"/>
  <c r="K12" i="29" s="1"/>
  <c r="I7" i="29"/>
  <c r="K6" i="29"/>
  <c r="D9" i="29"/>
  <c r="D8" i="29"/>
  <c r="H7" i="29"/>
  <c r="F7" i="29"/>
  <c r="E9" i="29"/>
  <c r="E10" i="29" s="1"/>
  <c r="E8" i="29"/>
  <c r="G9" i="29"/>
  <c r="G10" i="29" s="1"/>
  <c r="G8" i="29"/>
  <c r="J9" i="29"/>
  <c r="J10" i="29" s="1"/>
  <c r="J8" i="29"/>
  <c r="H12" i="29"/>
  <c r="D12" i="30"/>
  <c r="E12" i="30"/>
  <c r="C24" i="30"/>
  <c r="D24" i="30"/>
  <c r="D15" i="30"/>
  <c r="E24" i="30"/>
  <c r="E15" i="30"/>
  <c r="G24" i="30"/>
  <c r="G15" i="30"/>
  <c r="H24" i="30"/>
  <c r="H15" i="30"/>
  <c r="J24" i="30"/>
  <c r="J15" i="30"/>
  <c r="K24" i="30"/>
  <c r="K15" i="30"/>
  <c r="C25" i="30"/>
  <c r="D25" i="30"/>
  <c r="D18" i="30"/>
  <c r="E25" i="30"/>
  <c r="E18" i="30"/>
  <c r="C26" i="30"/>
  <c r="D26" i="30"/>
  <c r="D21" i="30"/>
  <c r="E26" i="30"/>
  <c r="E21" i="30"/>
  <c r="E33" i="30"/>
  <c r="H33" i="30"/>
  <c r="C14" i="24"/>
  <c r="C11" i="24"/>
  <c r="D10" i="24"/>
  <c r="D8" i="24"/>
  <c r="E10" i="24"/>
  <c r="E8" i="24"/>
  <c r="F10" i="24"/>
  <c r="G10" i="24"/>
  <c r="G8" i="24"/>
  <c r="H10" i="24"/>
  <c r="H8" i="24"/>
  <c r="I10" i="24"/>
  <c r="I8" i="24"/>
  <c r="D26" i="24"/>
  <c r="D28" i="24"/>
  <c r="E28" i="24"/>
  <c r="F28" i="24"/>
  <c r="G28" i="24"/>
  <c r="K407" i="23"/>
  <c r="L421" i="23"/>
  <c r="K421" i="23"/>
  <c r="L422" i="23"/>
  <c r="K422" i="23"/>
  <c r="H428" i="23"/>
  <c r="I428" i="23"/>
  <c r="J428" i="23"/>
  <c r="F430" i="23"/>
  <c r="G430" i="23"/>
  <c r="H430" i="23"/>
  <c r="I430" i="23"/>
  <c r="J430" i="23"/>
  <c r="L415" i="23"/>
  <c r="K415" i="23"/>
  <c r="L416" i="23"/>
  <c r="K416" i="23"/>
  <c r="K143" i="23"/>
  <c r="L143" i="23" s="1"/>
  <c r="L131" i="23"/>
  <c r="L119" i="23"/>
  <c r="L107" i="23"/>
  <c r="L95" i="23"/>
  <c r="G196" i="6"/>
  <c r="H194" i="6" s="1"/>
  <c r="F196" i="6"/>
  <c r="E196" i="6"/>
  <c r="D196" i="6"/>
  <c r="C196" i="6"/>
  <c r="F195" i="6"/>
  <c r="E195" i="6"/>
  <c r="D195" i="6"/>
  <c r="C195" i="6"/>
  <c r="G194" i="6"/>
  <c r="F194" i="6"/>
  <c r="E194" i="6"/>
  <c r="D194" i="6"/>
  <c r="C194" i="6"/>
  <c r="G200" i="6"/>
  <c r="F200" i="6"/>
  <c r="E200" i="6"/>
  <c r="D200" i="6"/>
  <c r="C200" i="6"/>
  <c r="G189" i="6"/>
  <c r="J371" i="23" s="1"/>
  <c r="F189" i="6"/>
  <c r="I371" i="23" s="1"/>
  <c r="E189" i="6"/>
  <c r="H371" i="23" s="1"/>
  <c r="D189" i="6"/>
  <c r="G371" i="23" s="1"/>
  <c r="C189" i="6"/>
  <c r="F371" i="23" s="1"/>
  <c r="G188" i="6"/>
  <c r="J370" i="23" s="1"/>
  <c r="F188" i="6"/>
  <c r="I370" i="23" s="1"/>
  <c r="C188" i="6"/>
  <c r="F370" i="23" s="1"/>
  <c r="G187" i="6"/>
  <c r="F187" i="6"/>
  <c r="E187" i="6"/>
  <c r="D187" i="6"/>
  <c r="C187" i="6"/>
  <c r="G186" i="6"/>
  <c r="J369" i="23" s="1"/>
  <c r="F186" i="6"/>
  <c r="I369" i="23" s="1"/>
  <c r="E186" i="6"/>
  <c r="H369" i="23" s="1"/>
  <c r="D186" i="6"/>
  <c r="G369" i="23" s="1"/>
  <c r="C186" i="6"/>
  <c r="F369" i="23" s="1"/>
  <c r="G185" i="6"/>
  <c r="F185" i="6"/>
  <c r="E185" i="6"/>
  <c r="D185" i="6"/>
  <c r="C185" i="6"/>
  <c r="G184" i="6"/>
  <c r="F184" i="6"/>
  <c r="G183" i="6"/>
  <c r="J368" i="23" s="1"/>
  <c r="F183" i="6"/>
  <c r="I368" i="23" s="1"/>
  <c r="E183" i="6"/>
  <c r="H368" i="23" s="1"/>
  <c r="D183" i="6"/>
  <c r="G368" i="23" s="1"/>
  <c r="C183" i="6"/>
  <c r="F368" i="23" s="1"/>
  <c r="G182" i="6"/>
  <c r="J367" i="23" s="1"/>
  <c r="F182" i="6"/>
  <c r="I367" i="23" s="1"/>
  <c r="E182" i="6"/>
  <c r="H367" i="23" s="1"/>
  <c r="D182" i="6"/>
  <c r="G367" i="23" s="1"/>
  <c r="C182" i="6"/>
  <c r="F367" i="23" s="1"/>
  <c r="G181" i="6"/>
  <c r="F181" i="6"/>
  <c r="E181" i="6"/>
  <c r="D181" i="6"/>
  <c r="C181" i="6"/>
  <c r="G180" i="6"/>
  <c r="J366" i="23" s="1"/>
  <c r="F180" i="6"/>
  <c r="I366" i="23" s="1"/>
  <c r="E180" i="6"/>
  <c r="H366" i="23" s="1"/>
  <c r="D180" i="6"/>
  <c r="G366" i="23" s="1"/>
  <c r="C180" i="6"/>
  <c r="F366" i="23" s="1"/>
  <c r="G179" i="6"/>
  <c r="F179" i="6"/>
  <c r="E179" i="6"/>
  <c r="D179" i="6"/>
  <c r="G178" i="6"/>
  <c r="H178" i="6" s="1"/>
  <c r="F178" i="6"/>
  <c r="E178" i="6"/>
  <c r="D178" i="6"/>
  <c r="C178" i="6"/>
  <c r="G177" i="6"/>
  <c r="F177" i="6"/>
  <c r="E177" i="6"/>
  <c r="D177" i="6"/>
  <c r="C177" i="6"/>
  <c r="G176" i="6"/>
  <c r="J365" i="23" s="1"/>
  <c r="F176" i="6"/>
  <c r="I365" i="23" s="1"/>
  <c r="E176" i="6"/>
  <c r="H365" i="23" s="1"/>
  <c r="D176" i="6"/>
  <c r="G365" i="23" s="1"/>
  <c r="C176" i="6"/>
  <c r="F365" i="23" s="1"/>
  <c r="G175" i="6"/>
  <c r="F175" i="6"/>
  <c r="E175" i="6"/>
  <c r="D175" i="6"/>
  <c r="C175" i="6"/>
  <c r="G171" i="6"/>
  <c r="F171" i="6"/>
  <c r="E171" i="6"/>
  <c r="D171" i="6"/>
  <c r="C171" i="6"/>
  <c r="G170" i="6"/>
  <c r="F170" i="6"/>
  <c r="E170" i="6"/>
  <c r="D170" i="6"/>
  <c r="C170" i="6"/>
  <c r="G169" i="6"/>
  <c r="F169" i="6"/>
  <c r="E169" i="6"/>
  <c r="D169" i="6"/>
  <c r="C169" i="6"/>
  <c r="G168" i="6"/>
  <c r="F168" i="6"/>
  <c r="E168" i="6"/>
  <c r="D168" i="6"/>
  <c r="C168" i="6"/>
  <c r="G167" i="6"/>
  <c r="F167" i="6"/>
  <c r="G166" i="6"/>
  <c r="F166" i="6"/>
  <c r="E166" i="6"/>
  <c r="D166" i="6"/>
  <c r="C166" i="6"/>
  <c r="G165" i="6"/>
  <c r="F165" i="6"/>
  <c r="E165" i="6"/>
  <c r="D165" i="6"/>
  <c r="C165" i="6"/>
  <c r="G164" i="6"/>
  <c r="F164" i="6"/>
  <c r="E164" i="6"/>
  <c r="D164" i="6"/>
  <c r="C164" i="6"/>
  <c r="G163" i="6"/>
  <c r="F163" i="6"/>
  <c r="E163" i="6"/>
  <c r="D163" i="6"/>
  <c r="C163" i="6"/>
  <c r="G162" i="6"/>
  <c r="F162" i="6"/>
  <c r="E162" i="6"/>
  <c r="D162" i="6"/>
  <c r="C162" i="6"/>
  <c r="G161" i="6"/>
  <c r="F161" i="6"/>
  <c r="E161" i="6"/>
  <c r="D161" i="6"/>
  <c r="C161" i="6"/>
  <c r="G160" i="6"/>
  <c r="H160" i="6" s="1"/>
  <c r="F160" i="6"/>
  <c r="E160" i="6"/>
  <c r="D160" i="6"/>
  <c r="C160" i="6"/>
  <c r="G159" i="6"/>
  <c r="H159" i="6" s="1"/>
  <c r="I159" i="6" s="1"/>
  <c r="F159" i="6"/>
  <c r="E159" i="6"/>
  <c r="D159" i="6"/>
  <c r="C159" i="6"/>
  <c r="G155" i="6"/>
  <c r="F155" i="6"/>
  <c r="E155" i="6"/>
  <c r="D155" i="6"/>
  <c r="C155" i="6"/>
  <c r="G154" i="6"/>
  <c r="F154" i="6"/>
  <c r="E154" i="6"/>
  <c r="D154" i="6"/>
  <c r="C154" i="6"/>
  <c r="G153" i="6"/>
  <c r="F153" i="6"/>
  <c r="E153" i="6"/>
  <c r="D153" i="6"/>
  <c r="C153" i="6"/>
  <c r="G150" i="6"/>
  <c r="F150" i="6"/>
  <c r="E150" i="6"/>
  <c r="D150" i="6"/>
  <c r="C150" i="6"/>
  <c r="G149" i="6"/>
  <c r="F149" i="6"/>
  <c r="E149" i="6"/>
  <c r="D149" i="6"/>
  <c r="C149" i="6"/>
  <c r="G148" i="6"/>
  <c r="F148" i="6"/>
  <c r="E148" i="6"/>
  <c r="D148" i="6"/>
  <c r="C148" i="6"/>
  <c r="G147" i="6"/>
  <c r="F147" i="6"/>
  <c r="E147" i="6"/>
  <c r="D147" i="6"/>
  <c r="C147" i="6"/>
  <c r="G146" i="6"/>
  <c r="F146" i="6"/>
  <c r="E146" i="6"/>
  <c r="D146" i="6"/>
  <c r="C146" i="6"/>
  <c r="G145" i="6"/>
  <c r="F145" i="6"/>
  <c r="E145" i="6"/>
  <c r="D145" i="6"/>
  <c r="C145" i="6"/>
  <c r="G142" i="6"/>
  <c r="F142" i="6"/>
  <c r="E142" i="6"/>
  <c r="D142" i="6"/>
  <c r="C142" i="6"/>
  <c r="G141" i="6"/>
  <c r="F141" i="6"/>
  <c r="E141" i="6"/>
  <c r="D141" i="6"/>
  <c r="C141" i="6"/>
  <c r="G140" i="6"/>
  <c r="F140" i="6"/>
  <c r="E140" i="6"/>
  <c r="D140" i="6"/>
  <c r="C140" i="6"/>
  <c r="G139" i="6"/>
  <c r="F139" i="6"/>
  <c r="E139" i="6"/>
  <c r="D139" i="6"/>
  <c r="C139" i="6"/>
  <c r="G138" i="6"/>
  <c r="F138" i="6"/>
  <c r="E138" i="6"/>
  <c r="D138" i="6"/>
  <c r="C138" i="6"/>
  <c r="G137" i="6"/>
  <c r="F137" i="6"/>
  <c r="E137" i="6"/>
  <c r="D137" i="6"/>
  <c r="C137" i="6"/>
  <c r="G136" i="6"/>
  <c r="F136" i="6"/>
  <c r="E136" i="6"/>
  <c r="D136" i="6"/>
  <c r="C136" i="6"/>
  <c r="G135" i="6"/>
  <c r="F135" i="6"/>
  <c r="E135" i="6"/>
  <c r="D135" i="6"/>
  <c r="C135" i="6"/>
  <c r="G134" i="6"/>
  <c r="F134" i="6"/>
  <c r="E134" i="6"/>
  <c r="D134" i="6"/>
  <c r="C134" i="6"/>
  <c r="G133" i="6"/>
  <c r="F133" i="6"/>
  <c r="G131" i="6"/>
  <c r="F131" i="6"/>
  <c r="E131" i="6"/>
  <c r="D131" i="6"/>
  <c r="C131" i="6"/>
  <c r="G130" i="6"/>
  <c r="F130" i="6"/>
  <c r="E130" i="6"/>
  <c r="D130" i="6"/>
  <c r="C130" i="6"/>
  <c r="G128" i="6"/>
  <c r="F128" i="6"/>
  <c r="E128" i="6"/>
  <c r="D128" i="6"/>
  <c r="G127" i="6"/>
  <c r="F127" i="6"/>
  <c r="E127" i="6"/>
  <c r="D127" i="6"/>
  <c r="C127" i="6"/>
  <c r="G126" i="6"/>
  <c r="H126" i="6" s="1"/>
  <c r="I126" i="6" s="1"/>
  <c r="F126" i="6"/>
  <c r="E126" i="6"/>
  <c r="D126" i="6"/>
  <c r="C126" i="6"/>
  <c r="G125" i="6"/>
  <c r="F125" i="6"/>
  <c r="E125" i="6"/>
  <c r="D125" i="6"/>
  <c r="C125" i="6"/>
  <c r="G122" i="6"/>
  <c r="F122" i="6"/>
  <c r="E122" i="6"/>
  <c r="D122" i="6"/>
  <c r="C122" i="6"/>
  <c r="G121" i="6"/>
  <c r="F121" i="6"/>
  <c r="E121" i="6"/>
  <c r="D121" i="6"/>
  <c r="C121" i="6"/>
  <c r="G112" i="6"/>
  <c r="F112" i="6"/>
  <c r="E112" i="6"/>
  <c r="D112" i="6"/>
  <c r="C112" i="6"/>
  <c r="G110" i="6"/>
  <c r="F110" i="6"/>
  <c r="E110" i="6"/>
  <c r="D110" i="6"/>
  <c r="C110" i="6"/>
  <c r="G109" i="6"/>
  <c r="F109" i="6"/>
  <c r="E109" i="6"/>
  <c r="D109" i="6"/>
  <c r="C109" i="6"/>
  <c r="G108" i="6"/>
  <c r="F108" i="6"/>
  <c r="E108" i="6"/>
  <c r="D108" i="6"/>
  <c r="C108" i="6"/>
  <c r="G107" i="6"/>
  <c r="F107" i="6"/>
  <c r="E107" i="6"/>
  <c r="D107" i="6"/>
  <c r="G106" i="6"/>
  <c r="F106" i="6"/>
  <c r="E106" i="6"/>
  <c r="D106" i="6"/>
  <c r="C106" i="6"/>
  <c r="G105" i="6"/>
  <c r="F105" i="6"/>
  <c r="G104" i="6"/>
  <c r="F104" i="6"/>
  <c r="E104" i="6"/>
  <c r="D104" i="6"/>
  <c r="C104" i="6"/>
  <c r="G103" i="6"/>
  <c r="F103" i="6"/>
  <c r="E103" i="6"/>
  <c r="D103" i="6"/>
  <c r="C103" i="6"/>
  <c r="G101" i="6"/>
  <c r="H101" i="6" s="1"/>
  <c r="F101" i="6"/>
  <c r="E101" i="6"/>
  <c r="D101" i="6"/>
  <c r="C101" i="6"/>
  <c r="G100" i="6"/>
  <c r="H100" i="6" s="1"/>
  <c r="F100" i="6"/>
  <c r="E100" i="6"/>
  <c r="D100" i="6"/>
  <c r="C100" i="6"/>
  <c r="G95" i="6"/>
  <c r="F95" i="6"/>
  <c r="E95" i="6"/>
  <c r="D95" i="6"/>
  <c r="C95" i="6"/>
  <c r="G94" i="6"/>
  <c r="F94" i="6"/>
  <c r="E94" i="6"/>
  <c r="D94" i="6"/>
  <c r="C94" i="6"/>
  <c r="G93" i="6"/>
  <c r="F93" i="6"/>
  <c r="E93" i="6"/>
  <c r="D93" i="6"/>
  <c r="C93" i="6"/>
  <c r="G92" i="6"/>
  <c r="F92" i="6"/>
  <c r="E92" i="6"/>
  <c r="D92" i="6"/>
  <c r="C92" i="6"/>
  <c r="G91" i="6"/>
  <c r="F91" i="6"/>
  <c r="E91" i="6"/>
  <c r="D91" i="6"/>
  <c r="C91" i="6"/>
  <c r="G90" i="6"/>
  <c r="F90" i="6"/>
  <c r="E90" i="6"/>
  <c r="D90" i="6"/>
  <c r="G89" i="6"/>
  <c r="H89" i="6" s="1"/>
  <c r="I89" i="6" s="1"/>
  <c r="F89" i="6"/>
  <c r="E89" i="6"/>
  <c r="D89" i="6"/>
  <c r="C89" i="6"/>
  <c r="G88" i="6"/>
  <c r="F88" i="6"/>
  <c r="I399" i="23" s="1"/>
  <c r="E88" i="6"/>
  <c r="H399" i="23" s="1"/>
  <c r="D88" i="6"/>
  <c r="G399" i="23" s="1"/>
  <c r="C88" i="6"/>
  <c r="F399" i="23" s="1"/>
  <c r="G83" i="6"/>
  <c r="H83" i="6" s="1"/>
  <c r="F83" i="6"/>
  <c r="E83" i="6"/>
  <c r="D83" i="6"/>
  <c r="C83" i="6"/>
  <c r="G81" i="6"/>
  <c r="F81" i="6"/>
  <c r="E81" i="6"/>
  <c r="D81" i="6"/>
  <c r="C81" i="6"/>
  <c r="G80" i="6"/>
  <c r="H80" i="6" s="1"/>
  <c r="I80" i="6" s="1"/>
  <c r="F80" i="6"/>
  <c r="E80" i="6"/>
  <c r="D80" i="6"/>
  <c r="C80" i="6"/>
  <c r="G75" i="6"/>
  <c r="F75" i="6"/>
  <c r="E75" i="6"/>
  <c r="D75" i="6"/>
  <c r="C75" i="6"/>
  <c r="G73" i="6"/>
  <c r="F73" i="6"/>
  <c r="E73" i="6"/>
  <c r="D73" i="6"/>
  <c r="C73" i="6"/>
  <c r="G72" i="6"/>
  <c r="F72" i="6"/>
  <c r="E72" i="6"/>
  <c r="D72" i="6"/>
  <c r="C72" i="6"/>
  <c r="G71" i="6"/>
  <c r="F71" i="6"/>
  <c r="E71" i="6"/>
  <c r="D71" i="6"/>
  <c r="C71" i="6"/>
  <c r="G70" i="6"/>
  <c r="F70" i="6"/>
  <c r="E70" i="6"/>
  <c r="D70" i="6"/>
  <c r="C70" i="6"/>
  <c r="E69" i="6"/>
  <c r="D69" i="6"/>
  <c r="C69" i="6"/>
  <c r="G68" i="6"/>
  <c r="F68" i="6"/>
  <c r="E68" i="6"/>
  <c r="D68" i="6"/>
  <c r="C68" i="6"/>
  <c r="G67" i="6"/>
  <c r="J400" i="23" s="1"/>
  <c r="F67" i="6"/>
  <c r="I400" i="23" s="1"/>
  <c r="E67" i="6"/>
  <c r="H400" i="23" s="1"/>
  <c r="D67" i="6"/>
  <c r="G400" i="23" s="1"/>
  <c r="C67" i="6"/>
  <c r="F400" i="23" s="1"/>
  <c r="G66" i="6"/>
  <c r="F66" i="6"/>
  <c r="E66" i="6"/>
  <c r="D66" i="6"/>
  <c r="C66" i="6"/>
  <c r="G65" i="6"/>
  <c r="F65" i="6"/>
  <c r="E65" i="6"/>
  <c r="D65" i="6"/>
  <c r="C65" i="6"/>
  <c r="G63" i="6"/>
  <c r="F63" i="6"/>
  <c r="E63" i="6"/>
  <c r="D63" i="6"/>
  <c r="C63" i="6"/>
  <c r="G59" i="6"/>
  <c r="F59" i="6"/>
  <c r="E59" i="6"/>
  <c r="D59" i="6"/>
  <c r="C59" i="6"/>
  <c r="G58" i="6"/>
  <c r="F58" i="6"/>
  <c r="E58" i="6"/>
  <c r="D58" i="6"/>
  <c r="C58" i="6"/>
  <c r="G57" i="6"/>
  <c r="F57" i="6"/>
  <c r="E57" i="6"/>
  <c r="D57" i="6"/>
  <c r="C57" i="6"/>
  <c r="G55" i="6"/>
  <c r="F55" i="6"/>
  <c r="E55" i="6"/>
  <c r="D55" i="6"/>
  <c r="C55" i="6"/>
  <c r="G53" i="6"/>
  <c r="F53" i="6"/>
  <c r="E53" i="6"/>
  <c r="D53" i="6"/>
  <c r="C53" i="6"/>
  <c r="G52" i="6"/>
  <c r="F52" i="6"/>
  <c r="E52" i="6"/>
  <c r="D52" i="6"/>
  <c r="C52" i="6"/>
  <c r="G51" i="6"/>
  <c r="F51" i="6"/>
  <c r="E51" i="6"/>
  <c r="D51" i="6"/>
  <c r="C51" i="6"/>
  <c r="G50" i="6"/>
  <c r="F50" i="6"/>
  <c r="E50" i="6"/>
  <c r="D50" i="6"/>
  <c r="C50" i="6"/>
  <c r="G49" i="6"/>
  <c r="H49" i="6" s="1"/>
  <c r="F49" i="6"/>
  <c r="E49" i="6"/>
  <c r="D49" i="6"/>
  <c r="C49" i="6"/>
  <c r="G48" i="6"/>
  <c r="F48" i="6"/>
  <c r="E48" i="6"/>
  <c r="D48" i="6"/>
  <c r="C48" i="6"/>
  <c r="G47" i="6"/>
  <c r="H47" i="6" s="1"/>
  <c r="F47" i="6"/>
  <c r="E47" i="6"/>
  <c r="D47" i="6"/>
  <c r="C47" i="6"/>
  <c r="G46" i="6"/>
  <c r="H46" i="6" s="1"/>
  <c r="F46" i="6"/>
  <c r="E46" i="6"/>
  <c r="D46" i="6"/>
  <c r="C46" i="6"/>
  <c r="G40" i="6"/>
  <c r="F40" i="6"/>
  <c r="E40" i="6"/>
  <c r="D40" i="6"/>
  <c r="C40" i="6"/>
  <c r="G39" i="6"/>
  <c r="J395" i="23" s="1"/>
  <c r="E12" i="25" s="1"/>
  <c r="F39" i="6"/>
  <c r="I395" i="23" s="1"/>
  <c r="D12" i="25" s="1"/>
  <c r="E39" i="6"/>
  <c r="H395" i="23" s="1"/>
  <c r="C12" i="25" s="1"/>
  <c r="D39" i="6"/>
  <c r="G395" i="23" s="1"/>
  <c r="C39" i="6"/>
  <c r="F395" i="23" s="1"/>
  <c r="G34" i="6"/>
  <c r="F34" i="6"/>
  <c r="E34" i="6"/>
  <c r="D34" i="6"/>
  <c r="C34" i="6"/>
  <c r="G33" i="6"/>
  <c r="F33" i="6"/>
  <c r="E33" i="6"/>
  <c r="D33" i="6"/>
  <c r="C33" i="6"/>
  <c r="G30" i="6"/>
  <c r="F30" i="6"/>
  <c r="E30" i="6"/>
  <c r="D30" i="6"/>
  <c r="C30" i="6"/>
  <c r="G28" i="6"/>
  <c r="F28" i="6"/>
  <c r="E28" i="6"/>
  <c r="D28" i="6"/>
  <c r="C28" i="6"/>
  <c r="G26" i="6"/>
  <c r="F26" i="6"/>
  <c r="E26" i="6"/>
  <c r="D26" i="6"/>
  <c r="C26" i="6"/>
  <c r="F24" i="6"/>
  <c r="E24" i="6"/>
  <c r="D24" i="6"/>
  <c r="C24" i="6"/>
  <c r="G21" i="6"/>
  <c r="F21" i="6"/>
  <c r="E21" i="6"/>
  <c r="D21" i="6"/>
  <c r="C21" i="6"/>
  <c r="G17" i="6"/>
  <c r="F17" i="6"/>
  <c r="E17" i="6"/>
  <c r="D17" i="6"/>
  <c r="C17" i="6"/>
  <c r="G16" i="6"/>
  <c r="F16" i="6"/>
  <c r="E16" i="6"/>
  <c r="D16" i="6"/>
  <c r="C16" i="6"/>
  <c r="G13" i="6"/>
  <c r="F13" i="6"/>
  <c r="E13" i="6"/>
  <c r="D13" i="6"/>
  <c r="C13" i="6"/>
  <c r="G8" i="6"/>
  <c r="F8" i="6"/>
  <c r="E8" i="6"/>
  <c r="D8" i="6"/>
  <c r="C8" i="6"/>
  <c r="G7" i="6"/>
  <c r="F7" i="6"/>
  <c r="E7" i="6"/>
  <c r="D7" i="6"/>
  <c r="C7" i="6"/>
  <c r="L1" i="23"/>
  <c r="F3" i="23"/>
  <c r="G3" i="23"/>
  <c r="H3" i="23"/>
  <c r="I3" i="23"/>
  <c r="J3" i="23"/>
  <c r="K3" i="23"/>
  <c r="L3" i="23"/>
  <c r="K21" i="23"/>
  <c r="L21" i="23"/>
  <c r="K24" i="23"/>
  <c r="L24" i="23"/>
  <c r="C25" i="23"/>
  <c r="K25" i="23"/>
  <c r="L25" i="23"/>
  <c r="I31" i="23"/>
  <c r="J36" i="23"/>
  <c r="K36" i="23"/>
  <c r="K31" i="23" s="1"/>
  <c r="L36" i="23"/>
  <c r="B39" i="23"/>
  <c r="B40" i="23"/>
  <c r="K40" i="23"/>
  <c r="L40" i="23"/>
  <c r="B41" i="23"/>
  <c r="B57" i="23" s="1"/>
  <c r="B73" i="23" s="1"/>
  <c r="B89" i="23" s="1"/>
  <c r="K41" i="23"/>
  <c r="L41" i="23"/>
  <c r="I47" i="23"/>
  <c r="K52" i="23"/>
  <c r="K47" i="23" s="1"/>
  <c r="L52" i="23"/>
  <c r="B55" i="23"/>
  <c r="B71" i="23" s="1"/>
  <c r="B87" i="23" s="1"/>
  <c r="B56" i="23"/>
  <c r="B72" i="23" s="1"/>
  <c r="B88" i="23" s="1"/>
  <c r="K57" i="23"/>
  <c r="L57" i="23"/>
  <c r="I63" i="23"/>
  <c r="J68" i="23"/>
  <c r="K68" i="23"/>
  <c r="K63" i="23" s="1"/>
  <c r="L68" i="23"/>
  <c r="L73" i="23"/>
  <c r="K73" i="23"/>
  <c r="K84" i="23"/>
  <c r="L84" i="23"/>
  <c r="C88" i="23"/>
  <c r="K88" i="23"/>
  <c r="L88" i="23"/>
  <c r="C89" i="23"/>
  <c r="L89" i="23" s="1"/>
  <c r="K89" i="23"/>
  <c r="B157" i="23"/>
  <c r="L157" i="23"/>
  <c r="C160" i="23"/>
  <c r="K160" i="23"/>
  <c r="L160" i="23"/>
  <c r="C161" i="23"/>
  <c r="K161" i="23"/>
  <c r="L161" i="23"/>
  <c r="B165" i="23"/>
  <c r="K168" i="23"/>
  <c r="L168" i="23"/>
  <c r="K169" i="23"/>
  <c r="L169" i="23"/>
  <c r="B173" i="23"/>
  <c r="K176" i="23"/>
  <c r="L176" i="23"/>
  <c r="K177" i="23"/>
  <c r="L177" i="23"/>
  <c r="B183" i="23"/>
  <c r="K183" i="23"/>
  <c r="L183" i="23"/>
  <c r="K186" i="23"/>
  <c r="L186" i="23"/>
  <c r="K187" i="23"/>
  <c r="L187" i="23"/>
  <c r="B191" i="23"/>
  <c r="K191" i="23"/>
  <c r="L191" i="23"/>
  <c r="K194" i="23"/>
  <c r="L194" i="23"/>
  <c r="K195" i="23"/>
  <c r="L195" i="23"/>
  <c r="B199" i="23"/>
  <c r="L199" i="23"/>
  <c r="C202" i="23"/>
  <c r="C203" i="23"/>
  <c r="K203" i="23" s="1"/>
  <c r="B213" i="23"/>
  <c r="K213" i="23"/>
  <c r="L213" i="23"/>
  <c r="C216" i="23"/>
  <c r="K216" i="23"/>
  <c r="L216" i="23"/>
  <c r="C217" i="23"/>
  <c r="K217" i="23" s="1"/>
  <c r="B221" i="23"/>
  <c r="K221" i="23"/>
  <c r="L221" i="23"/>
  <c r="K224" i="23"/>
  <c r="L224" i="23"/>
  <c r="L225" i="23"/>
  <c r="K225" i="23"/>
  <c r="B229" i="23"/>
  <c r="F229" i="23"/>
  <c r="G229" i="23"/>
  <c r="H229" i="23"/>
  <c r="I229" i="23"/>
  <c r="J229" i="23"/>
  <c r="K229" i="23"/>
  <c r="L229" i="23"/>
  <c r="K232" i="23"/>
  <c r="L232" i="23"/>
  <c r="L233" i="23"/>
  <c r="K233" i="23"/>
  <c r="B237" i="23"/>
  <c r="K237" i="23"/>
  <c r="L237" i="23"/>
  <c r="C240" i="23"/>
  <c r="K240" i="23"/>
  <c r="L240" i="23"/>
  <c r="C241" i="23"/>
  <c r="L241" i="23" s="1"/>
  <c r="K241" i="23"/>
  <c r="B245" i="23"/>
  <c r="K245" i="23"/>
  <c r="L245" i="23"/>
  <c r="C248" i="23"/>
  <c r="K248" i="23"/>
  <c r="L248" i="23"/>
  <c r="C249" i="23"/>
  <c r="K249" i="23" s="1"/>
  <c r="B256" i="23"/>
  <c r="B259" i="23"/>
  <c r="K263" i="23"/>
  <c r="H50" i="6" s="1"/>
  <c r="L263" i="23"/>
  <c r="I50" i="6" s="1"/>
  <c r="K264" i="23"/>
  <c r="H52" i="6" s="1"/>
  <c r="L264" i="23"/>
  <c r="I52" i="6" s="1"/>
  <c r="K265" i="23"/>
  <c r="H53" i="6" s="1"/>
  <c r="L265" i="23"/>
  <c r="I53" i="6" s="1"/>
  <c r="K266" i="23"/>
  <c r="H55" i="6" s="1"/>
  <c r="L266" i="23"/>
  <c r="I55" i="6" s="1"/>
  <c r="K268" i="23"/>
  <c r="K269" i="23"/>
  <c r="K270" i="23"/>
  <c r="H59" i="6" s="1"/>
  <c r="L270" i="23"/>
  <c r="I59" i="6" s="1"/>
  <c r="K271" i="23"/>
  <c r="H75" i="6" s="1"/>
  <c r="L271" i="23"/>
  <c r="I75" i="6" s="1"/>
  <c r="K275" i="23"/>
  <c r="L275" i="23"/>
  <c r="K277" i="23"/>
  <c r="K278" i="23"/>
  <c r="K279" i="23"/>
  <c r="K280" i="23"/>
  <c r="K284" i="23"/>
  <c r="H90" i="6" s="1"/>
  <c r="L284" i="23"/>
  <c r="I90" i="6" s="1"/>
  <c r="K285" i="23"/>
  <c r="H91" i="6" s="1"/>
  <c r="L285" i="23"/>
  <c r="I91" i="6" s="1"/>
  <c r="K286" i="23"/>
  <c r="H92" i="6" s="1"/>
  <c r="L286" i="23"/>
  <c r="I92" i="6" s="1"/>
  <c r="K287" i="23"/>
  <c r="H93" i="6" s="1"/>
  <c r="L287" i="23"/>
  <c r="I93" i="6" s="1"/>
  <c r="K288" i="23"/>
  <c r="K289" i="23"/>
  <c r="K293" i="23"/>
  <c r="K294" i="23"/>
  <c r="K295" i="23"/>
  <c r="K296" i="23"/>
  <c r="H108" i="6" s="1"/>
  <c r="L296" i="23"/>
  <c r="I108" i="6" s="1"/>
  <c r="K297" i="23"/>
  <c r="H109" i="6" s="1"/>
  <c r="L297" i="23"/>
  <c r="I109" i="6" s="1"/>
  <c r="K298" i="23"/>
  <c r="H110" i="6" s="1"/>
  <c r="L298" i="23"/>
  <c r="I110" i="6" s="1"/>
  <c r="K299" i="23"/>
  <c r="H112" i="6" s="1"/>
  <c r="L299" i="23"/>
  <c r="I112" i="6" s="1"/>
  <c r="K305" i="23"/>
  <c r="L305" i="23"/>
  <c r="C308" i="23"/>
  <c r="K308" i="23"/>
  <c r="L308" i="23"/>
  <c r="C309" i="23"/>
  <c r="L309" i="23" s="1"/>
  <c r="K309" i="23"/>
  <c r="K311" i="23"/>
  <c r="L311" i="23"/>
  <c r="C314" i="23"/>
  <c r="K314" i="23"/>
  <c r="L314" i="23"/>
  <c r="C315" i="23"/>
  <c r="K315" i="23"/>
  <c r="L315" i="23"/>
  <c r="B318" i="23"/>
  <c r="K318" i="23"/>
  <c r="L318" i="23"/>
  <c r="C321" i="23"/>
  <c r="K321" i="23"/>
  <c r="L321" i="23"/>
  <c r="C322" i="23"/>
  <c r="K322" i="23"/>
  <c r="L322" i="23"/>
  <c r="B324" i="23"/>
  <c r="K324" i="23"/>
  <c r="L324" i="23"/>
  <c r="C327" i="23"/>
  <c r="K327" i="23"/>
  <c r="L327" i="23"/>
  <c r="C328" i="23"/>
  <c r="K328" i="23"/>
  <c r="L328" i="23"/>
  <c r="K332" i="23"/>
  <c r="H127" i="6" s="1"/>
  <c r="L332" i="23"/>
  <c r="I127" i="6" s="1"/>
  <c r="K345" i="23"/>
  <c r="H154" i="6" s="1"/>
  <c r="L345" i="23"/>
  <c r="I154" i="6" s="1"/>
  <c r="K346" i="23"/>
  <c r="H155" i="6" s="1"/>
  <c r="L346" i="23"/>
  <c r="I155" i="6" s="1"/>
  <c r="K375" i="23"/>
  <c r="L375" i="23"/>
  <c r="K378" i="23"/>
  <c r="L378" i="23"/>
  <c r="K379" i="23"/>
  <c r="L379" i="23"/>
  <c r="K383" i="23"/>
  <c r="L383" i="23"/>
  <c r="K386" i="23"/>
  <c r="L386" i="23"/>
  <c r="L387" i="23"/>
  <c r="K392" i="23"/>
  <c r="L392" i="23"/>
  <c r="G396" i="23"/>
  <c r="I396" i="23"/>
  <c r="J396" i="23"/>
  <c r="F398" i="23"/>
  <c r="G398" i="23"/>
  <c r="H398" i="23"/>
  <c r="I398" i="23"/>
  <c r="J398" i="23"/>
  <c r="H37" i="24" l="1"/>
  <c r="H38" i="24"/>
  <c r="H40" i="24"/>
  <c r="H74" i="24"/>
  <c r="H75" i="24"/>
  <c r="L407" i="23"/>
  <c r="H179" i="6"/>
  <c r="H8" i="29"/>
  <c r="F8" i="29"/>
  <c r="D10" i="29"/>
  <c r="F9" i="29"/>
  <c r="H9" i="29"/>
  <c r="I9" i="29"/>
  <c r="I8" i="29"/>
  <c r="K8" i="29" s="1"/>
  <c r="K7" i="29"/>
  <c r="G5" i="21"/>
  <c r="G6" i="21"/>
  <c r="F5" i="21"/>
  <c r="F6" i="21"/>
  <c r="D5" i="21"/>
  <c r="D6" i="21"/>
  <c r="I14" i="24"/>
  <c r="I11" i="24"/>
  <c r="H14" i="24"/>
  <c r="H11" i="24"/>
  <c r="G14" i="24"/>
  <c r="G11" i="24"/>
  <c r="F14" i="24"/>
  <c r="F11" i="24"/>
  <c r="E14" i="24"/>
  <c r="E11" i="24"/>
  <c r="D14" i="24"/>
  <c r="D11" i="24"/>
  <c r="C17" i="24"/>
  <c r="C20" i="24" s="1"/>
  <c r="C22" i="24" s="1"/>
  <c r="C24" i="24" s="1"/>
  <c r="C26" i="24" s="1"/>
  <c r="C15" i="24"/>
  <c r="H187" i="6"/>
  <c r="I83" i="6"/>
  <c r="H88" i="6"/>
  <c r="J399" i="23"/>
  <c r="J401" i="23" s="1"/>
  <c r="I178" i="6"/>
  <c r="L429" i="23"/>
  <c r="I48" i="6" s="1"/>
  <c r="I39" i="24" s="1"/>
  <c r="L295" i="23"/>
  <c r="I107" i="6" s="1"/>
  <c r="H107" i="6"/>
  <c r="L294" i="23"/>
  <c r="I106" i="6" s="1"/>
  <c r="H106" i="6"/>
  <c r="L293" i="23"/>
  <c r="I105" i="6" s="1"/>
  <c r="H105" i="6"/>
  <c r="L289" i="23"/>
  <c r="I95" i="6" s="1"/>
  <c r="H95" i="6"/>
  <c r="L288" i="23"/>
  <c r="I94" i="6" s="1"/>
  <c r="H94" i="6"/>
  <c r="L280" i="23"/>
  <c r="I73" i="6" s="1"/>
  <c r="H73" i="6"/>
  <c r="L279" i="23"/>
  <c r="I72" i="6" s="1"/>
  <c r="H72" i="6"/>
  <c r="L278" i="23"/>
  <c r="I71" i="6" s="1"/>
  <c r="H71" i="6"/>
  <c r="L277" i="23"/>
  <c r="I70" i="6" s="1"/>
  <c r="H70" i="6"/>
  <c r="L337" i="23"/>
  <c r="I132" i="6" s="1"/>
  <c r="I65" i="6"/>
  <c r="K337" i="23"/>
  <c r="H132" i="6" s="1"/>
  <c r="H65" i="6"/>
  <c r="L269" i="23"/>
  <c r="I58" i="6" s="1"/>
  <c r="H58" i="6"/>
  <c r="L268" i="23"/>
  <c r="I57" i="6" s="1"/>
  <c r="H57" i="6"/>
  <c r="K202" i="23"/>
  <c r="L202" i="23"/>
  <c r="G146" i="23"/>
  <c r="B102" i="23"/>
  <c r="B114" i="23" s="1"/>
  <c r="B126" i="23" s="1"/>
  <c r="B138" i="23" s="1"/>
  <c r="B150" i="23" s="1"/>
  <c r="B160" i="23" s="1"/>
  <c r="B168" i="23" s="1"/>
  <c r="B176" i="23" s="1"/>
  <c r="B186" i="23" s="1"/>
  <c r="B194" i="23" s="1"/>
  <c r="B202" i="23" s="1"/>
  <c r="B216" i="23" s="1"/>
  <c r="B224" i="23" s="1"/>
  <c r="B232" i="23" s="1"/>
  <c r="B240" i="23" s="1"/>
  <c r="B248" i="23" s="1"/>
  <c r="B101" i="23"/>
  <c r="B113" i="23" s="1"/>
  <c r="B125" i="23" s="1"/>
  <c r="B137" i="23" s="1"/>
  <c r="B149" i="23" s="1"/>
  <c r="B159" i="23" s="1"/>
  <c r="B167" i="23" s="1"/>
  <c r="B175" i="23" s="1"/>
  <c r="B185" i="23" s="1"/>
  <c r="B193" i="23" s="1"/>
  <c r="B201" i="23" s="1"/>
  <c r="B215" i="23" s="1"/>
  <c r="B223" i="23" s="1"/>
  <c r="B231" i="23" s="1"/>
  <c r="B239" i="23" s="1"/>
  <c r="B247" i="23" s="1"/>
  <c r="B103" i="23"/>
  <c r="B115" i="23" s="1"/>
  <c r="B127" i="23" s="1"/>
  <c r="B139" i="23" s="1"/>
  <c r="B151" i="23" s="1"/>
  <c r="B161" i="23" s="1"/>
  <c r="B169" i="23" s="1"/>
  <c r="B177" i="23" s="1"/>
  <c r="B187" i="23" s="1"/>
  <c r="B195" i="23" s="1"/>
  <c r="B203" i="23" s="1"/>
  <c r="B217" i="23" s="1"/>
  <c r="B225" i="23" s="1"/>
  <c r="B233" i="23" s="1"/>
  <c r="B241" i="23" s="1"/>
  <c r="B249" i="23" s="1"/>
  <c r="I401" i="23"/>
  <c r="H401" i="23"/>
  <c r="G401" i="23"/>
  <c r="F401" i="23"/>
  <c r="L303" i="23"/>
  <c r="K303" i="23"/>
  <c r="J303" i="23"/>
  <c r="I303" i="23"/>
  <c r="H303" i="23"/>
  <c r="L63" i="23"/>
  <c r="L47" i="23"/>
  <c r="L31" i="23"/>
  <c r="B308" i="23"/>
  <c r="B314" i="23" s="1"/>
  <c r="B321" i="23" s="1"/>
  <c r="B327" i="23" s="1"/>
  <c r="B378" i="23"/>
  <c r="B386" i="23" s="1"/>
  <c r="B409" i="23" s="1"/>
  <c r="B415" i="23" s="1"/>
  <c r="B421" i="23" s="1"/>
  <c r="B432" i="23" s="1"/>
  <c r="B377" i="23"/>
  <c r="B385" i="23" s="1"/>
  <c r="B408" i="23" s="1"/>
  <c r="B414" i="23" s="1"/>
  <c r="B420" i="23" s="1"/>
  <c r="B431" i="23" s="1"/>
  <c r="B307" i="23"/>
  <c r="B313" i="23" s="1"/>
  <c r="B320" i="23" s="1"/>
  <c r="B326" i="23" s="1"/>
  <c r="B379" i="23"/>
  <c r="B387" i="23" s="1"/>
  <c r="B410" i="23" s="1"/>
  <c r="B416" i="23" s="1"/>
  <c r="B422" i="23" s="1"/>
  <c r="B433" i="23" s="1"/>
  <c r="B309" i="23"/>
  <c r="B315" i="23" s="1"/>
  <c r="B322" i="23" s="1"/>
  <c r="B328" i="23" s="1"/>
  <c r="K387" i="23"/>
  <c r="L249" i="23"/>
  <c r="L217" i="23"/>
  <c r="L203" i="23"/>
  <c r="K56" i="23"/>
  <c r="J52" i="23"/>
  <c r="G9" i="26" l="1"/>
  <c r="H45" i="24"/>
  <c r="I179" i="6"/>
  <c r="I100" i="6"/>
  <c r="I101" i="6"/>
  <c r="I75" i="24" s="1"/>
  <c r="H79" i="24"/>
  <c r="I10" i="29"/>
  <c r="K10" i="29" s="1"/>
  <c r="K9" i="29"/>
  <c r="F10" i="29"/>
  <c r="H10" i="29"/>
  <c r="D17" i="24"/>
  <c r="D20" i="24" s="1"/>
  <c r="D15" i="24"/>
  <c r="E17" i="24"/>
  <c r="E20" i="24" s="1"/>
  <c r="E22" i="24" s="1"/>
  <c r="E24" i="24" s="1"/>
  <c r="E26" i="24" s="1"/>
  <c r="E15" i="24"/>
  <c r="F17" i="24"/>
  <c r="F20" i="24" s="1"/>
  <c r="F22" i="24" s="1"/>
  <c r="F24" i="24" s="1"/>
  <c r="F26" i="24" s="1"/>
  <c r="F15" i="24"/>
  <c r="G17" i="24"/>
  <c r="G20" i="24" s="1"/>
  <c r="G22" i="24" s="1"/>
  <c r="G24" i="24" s="1"/>
  <c r="G26" i="24" s="1"/>
  <c r="G15" i="24"/>
  <c r="H15" i="24"/>
  <c r="I15" i="24"/>
  <c r="I88" i="6"/>
  <c r="L399" i="23" s="1"/>
  <c r="K399" i="23"/>
  <c r="K427" i="23"/>
  <c r="L426" i="23"/>
  <c r="H146" i="23"/>
  <c r="L427" i="23" l="1"/>
  <c r="I46" i="6"/>
  <c r="I37" i="24" s="1"/>
  <c r="I47" i="6"/>
  <c r="I38" i="24" s="1"/>
  <c r="I49" i="6"/>
  <c r="I40" i="24" s="1"/>
  <c r="I160" i="6"/>
  <c r="H21" i="6"/>
  <c r="H181" i="6"/>
  <c r="I181" i="6" s="1"/>
  <c r="G10" i="26"/>
  <c r="F13" i="25" s="1"/>
  <c r="I74" i="24"/>
  <c r="I79" i="24" s="1"/>
  <c r="I146" i="23"/>
  <c r="J146" i="23"/>
  <c r="H16" i="24" l="1"/>
  <c r="H17" i="24" s="1"/>
  <c r="H20" i="24" s="1"/>
  <c r="H22" i="24" s="1"/>
  <c r="H24" i="24" s="1"/>
  <c r="H9" i="26"/>
  <c r="H10" i="26" s="1"/>
  <c r="G13" i="25" s="1"/>
  <c r="I45" i="24"/>
  <c r="I21" i="6"/>
  <c r="C23" i="22"/>
  <c r="D23" i="22"/>
  <c r="H32" i="18"/>
  <c r="G32" i="18"/>
  <c r="F32" i="18"/>
  <c r="E32" i="18"/>
  <c r="D32" i="18"/>
  <c r="C32" i="18"/>
  <c r="G3" i="6"/>
  <c r="F3" i="6"/>
  <c r="E3" i="6"/>
  <c r="D3" i="6"/>
  <c r="C3" i="6"/>
  <c r="G190" i="6"/>
  <c r="F190" i="6"/>
  <c r="G172" i="6"/>
  <c r="F172" i="6"/>
  <c r="I200" i="6"/>
  <c r="H200" i="6"/>
  <c r="G151" i="6"/>
  <c r="F151" i="6"/>
  <c r="E151" i="6"/>
  <c r="D151" i="6"/>
  <c r="C151" i="6"/>
  <c r="I175" i="6"/>
  <c r="H175" i="6"/>
  <c r="G111" i="6"/>
  <c r="F111" i="6"/>
  <c r="G96" i="6"/>
  <c r="F96" i="6"/>
  <c r="E96" i="6"/>
  <c r="D96" i="6"/>
  <c r="G82" i="6"/>
  <c r="F82" i="6"/>
  <c r="E82" i="6"/>
  <c r="D82" i="6"/>
  <c r="C82" i="6"/>
  <c r="H68" i="6"/>
  <c r="E74" i="6"/>
  <c r="D74" i="6"/>
  <c r="C74" i="6"/>
  <c r="G35" i="6"/>
  <c r="F35" i="6"/>
  <c r="E35" i="6"/>
  <c r="D35" i="6"/>
  <c r="C35" i="6"/>
  <c r="I124" i="6"/>
  <c r="H124" i="6"/>
  <c r="G9" i="6"/>
  <c r="F9" i="6"/>
  <c r="E9" i="6"/>
  <c r="D9" i="6"/>
  <c r="I1" i="6"/>
  <c r="G3" i="3"/>
  <c r="F3" i="3"/>
  <c r="E3" i="3"/>
  <c r="D3" i="3"/>
  <c r="C3" i="3"/>
  <c r="G198" i="2"/>
  <c r="F198" i="2"/>
  <c r="E198" i="2"/>
  <c r="D198" i="2"/>
  <c r="C198" i="2"/>
  <c r="G195" i="2"/>
  <c r="G198" i="6" s="1"/>
  <c r="F195" i="2"/>
  <c r="F198" i="6" s="1"/>
  <c r="E195" i="2"/>
  <c r="E198" i="6" s="1"/>
  <c r="D195" i="2"/>
  <c r="D198" i="6" s="1"/>
  <c r="C195" i="2"/>
  <c r="C198" i="6" s="1"/>
  <c r="G192" i="2"/>
  <c r="G195" i="6" s="1"/>
  <c r="E181" i="2"/>
  <c r="D181" i="2"/>
  <c r="E185" i="2"/>
  <c r="D185" i="2"/>
  <c r="C181" i="2"/>
  <c r="C176" i="2"/>
  <c r="E164" i="2"/>
  <c r="D164" i="2"/>
  <c r="C164" i="2"/>
  <c r="G126" i="2"/>
  <c r="F126" i="2"/>
  <c r="G121" i="2"/>
  <c r="F121" i="2"/>
  <c r="F129" i="2"/>
  <c r="C125" i="2"/>
  <c r="E121" i="2"/>
  <c r="D121" i="2"/>
  <c r="D126" i="2"/>
  <c r="E126" i="2"/>
  <c r="E129" i="2"/>
  <c r="D129" i="2"/>
  <c r="E130" i="2"/>
  <c r="D130" i="2"/>
  <c r="C130" i="2"/>
  <c r="C126" i="2"/>
  <c r="C121" i="2"/>
  <c r="C129" i="2"/>
  <c r="E102" i="2"/>
  <c r="D102" i="2"/>
  <c r="C104" i="2"/>
  <c r="C102" i="2"/>
  <c r="C87" i="2"/>
  <c r="C90" i="6" s="1"/>
  <c r="C96" i="6" s="1"/>
  <c r="E79" i="2"/>
  <c r="D79" i="2"/>
  <c r="F66" i="2"/>
  <c r="G66" i="2"/>
  <c r="G53" i="2"/>
  <c r="F53" i="2"/>
  <c r="D53" i="2"/>
  <c r="E53" i="2"/>
  <c r="C53" i="2"/>
  <c r="C20" i="2"/>
  <c r="C16" i="2"/>
  <c r="F16" i="2"/>
  <c r="G16" i="2"/>
  <c r="G20" i="2"/>
  <c r="F20" i="2"/>
  <c r="E16" i="2"/>
  <c r="D16" i="2"/>
  <c r="E20" i="2"/>
  <c r="D20" i="2"/>
  <c r="G21" i="2"/>
  <c r="G187" i="2"/>
  <c r="F187" i="2"/>
  <c r="E187" i="2"/>
  <c r="D187" i="2"/>
  <c r="C187" i="2"/>
  <c r="G169" i="2"/>
  <c r="F169" i="2"/>
  <c r="E169" i="2"/>
  <c r="D169" i="2"/>
  <c r="C169" i="2"/>
  <c r="G148" i="2"/>
  <c r="F148" i="2"/>
  <c r="E148" i="2"/>
  <c r="D148" i="2"/>
  <c r="C148" i="2"/>
  <c r="G140" i="2"/>
  <c r="F140" i="2"/>
  <c r="E140" i="2"/>
  <c r="D140" i="2"/>
  <c r="C140" i="2"/>
  <c r="G108" i="2"/>
  <c r="F108" i="2"/>
  <c r="E108" i="2"/>
  <c r="D108" i="2"/>
  <c r="C108" i="2"/>
  <c r="G93" i="2"/>
  <c r="F93" i="2"/>
  <c r="E93" i="2"/>
  <c r="D93" i="2"/>
  <c r="C93" i="2"/>
  <c r="G79" i="2"/>
  <c r="G81" i="2" s="1"/>
  <c r="F79" i="2"/>
  <c r="F81" i="2" s="1"/>
  <c r="E81" i="2"/>
  <c r="E110" i="2" s="1"/>
  <c r="D81" i="2"/>
  <c r="D110" i="2" s="1"/>
  <c r="C79" i="2"/>
  <c r="C81" i="2" s="1"/>
  <c r="C110" i="2" s="1"/>
  <c r="G71" i="2"/>
  <c r="F71" i="2"/>
  <c r="E71" i="2"/>
  <c r="D71" i="2"/>
  <c r="C71" i="2"/>
  <c r="G57" i="2"/>
  <c r="G73" i="2" s="1"/>
  <c r="F57" i="2"/>
  <c r="F73" i="2" s="1"/>
  <c r="E57" i="2"/>
  <c r="E73" i="2" s="1"/>
  <c r="D57" i="2"/>
  <c r="D73" i="2" s="1"/>
  <c r="C57" i="2"/>
  <c r="C73" i="2" s="1"/>
  <c r="G33" i="2"/>
  <c r="F33" i="2"/>
  <c r="E33" i="2"/>
  <c r="D33" i="2"/>
  <c r="C33" i="2"/>
  <c r="G9" i="2"/>
  <c r="F9" i="2"/>
  <c r="E9" i="2"/>
  <c r="D9" i="2"/>
  <c r="C9" i="2"/>
  <c r="I16" i="24" l="1"/>
  <c r="I17" i="24" s="1"/>
  <c r="I20" i="24" s="1"/>
  <c r="I22" i="24" s="1"/>
  <c r="I24" i="24" s="1"/>
  <c r="C84" i="6"/>
  <c r="F394" i="23"/>
  <c r="D84" i="6"/>
  <c r="G394" i="23"/>
  <c r="E84" i="6"/>
  <c r="H394" i="23"/>
  <c r="F84" i="6"/>
  <c r="I394" i="23"/>
  <c r="G84" i="6"/>
  <c r="J394" i="23"/>
  <c r="I68" i="6"/>
  <c r="L359" i="23" s="1"/>
  <c r="I169" i="6" s="1"/>
  <c r="K359" i="23"/>
  <c r="H169" i="6" s="1"/>
  <c r="C13" i="2"/>
  <c r="C35" i="3"/>
  <c r="C34" i="3"/>
  <c r="C30" i="3"/>
  <c r="C29" i="3"/>
  <c r="F237" i="23" s="1"/>
  <c r="C27" i="3"/>
  <c r="C26" i="3"/>
  <c r="C25" i="3"/>
  <c r="C23" i="3"/>
  <c r="C21" i="3"/>
  <c r="F221" i="23" s="1"/>
  <c r="C19" i="3"/>
  <c r="F213" i="23" s="1"/>
  <c r="C16" i="3"/>
  <c r="C13" i="3"/>
  <c r="F191" i="23" s="1"/>
  <c r="F183" i="23"/>
  <c r="F157" i="23"/>
  <c r="C9" i="3"/>
  <c r="C8" i="3"/>
  <c r="C7" i="3"/>
  <c r="D13" i="2"/>
  <c r="D35" i="3"/>
  <c r="D34" i="3"/>
  <c r="D30" i="3"/>
  <c r="D29" i="3"/>
  <c r="G237" i="23" s="1"/>
  <c r="D27" i="3"/>
  <c r="D26" i="3"/>
  <c r="D25" i="3"/>
  <c r="D23" i="3"/>
  <c r="D21" i="3"/>
  <c r="G221" i="23" s="1"/>
  <c r="D19" i="3"/>
  <c r="G213" i="23" s="1"/>
  <c r="D16" i="3"/>
  <c r="D13" i="3"/>
  <c r="G191" i="23" s="1"/>
  <c r="D12" i="3"/>
  <c r="G183" i="23" s="1"/>
  <c r="D10" i="3"/>
  <c r="G157" i="23" s="1"/>
  <c r="D9" i="3"/>
  <c r="D8" i="3"/>
  <c r="D7" i="3"/>
  <c r="E13" i="2"/>
  <c r="E35" i="3"/>
  <c r="E34" i="3"/>
  <c r="E30" i="3"/>
  <c r="E29" i="3"/>
  <c r="H237" i="23" s="1"/>
  <c r="E27" i="3"/>
  <c r="E26" i="3"/>
  <c r="E25" i="3"/>
  <c r="E23" i="3"/>
  <c r="E21" i="3"/>
  <c r="H221" i="23" s="1"/>
  <c r="E19" i="3"/>
  <c r="H213" i="23" s="1"/>
  <c r="E16" i="3"/>
  <c r="E13" i="3"/>
  <c r="H191" i="23" s="1"/>
  <c r="E12" i="3"/>
  <c r="H183" i="23" s="1"/>
  <c r="E10" i="3"/>
  <c r="H157" i="23" s="1"/>
  <c r="E9" i="3"/>
  <c r="E8" i="3"/>
  <c r="E7" i="3"/>
  <c r="F13" i="2"/>
  <c r="I77" i="23"/>
  <c r="F35" i="3"/>
  <c r="F34" i="3"/>
  <c r="F30" i="3"/>
  <c r="F29" i="3"/>
  <c r="I237" i="23" s="1"/>
  <c r="F27" i="3"/>
  <c r="F26" i="3"/>
  <c r="F25" i="3"/>
  <c r="F23" i="3"/>
  <c r="F21" i="3"/>
  <c r="I221" i="23" s="1"/>
  <c r="F19" i="3"/>
  <c r="I213" i="23" s="1"/>
  <c r="F16" i="3"/>
  <c r="F13" i="3"/>
  <c r="I191" i="23" s="1"/>
  <c r="F12" i="3"/>
  <c r="I183" i="23" s="1"/>
  <c r="F10" i="3"/>
  <c r="I157" i="23" s="1"/>
  <c r="F9" i="3"/>
  <c r="F8" i="3"/>
  <c r="F7" i="3"/>
  <c r="G13" i="2"/>
  <c r="J77" i="23"/>
  <c r="J79" i="23" s="1"/>
  <c r="G35" i="3"/>
  <c r="G34" i="3"/>
  <c r="G30" i="3"/>
  <c r="G29" i="3"/>
  <c r="J237" i="23" s="1"/>
  <c r="G27" i="3"/>
  <c r="G26" i="3"/>
  <c r="G25" i="3"/>
  <c r="G23" i="3"/>
  <c r="G21" i="3"/>
  <c r="J221" i="23" s="1"/>
  <c r="G16" i="3"/>
  <c r="G13" i="3"/>
  <c r="J191" i="23" s="1"/>
  <c r="G12" i="3"/>
  <c r="J183" i="23" s="1"/>
  <c r="G10" i="3"/>
  <c r="J157" i="23" s="1"/>
  <c r="G9" i="3"/>
  <c r="G8" i="3"/>
  <c r="G7" i="3"/>
  <c r="C31" i="3"/>
  <c r="D31" i="3"/>
  <c r="E31" i="3"/>
  <c r="F31" i="3"/>
  <c r="G31" i="3"/>
  <c r="F110" i="2"/>
  <c r="D24" i="22"/>
  <c r="G110" i="2"/>
  <c r="C24" i="22"/>
  <c r="C149" i="2"/>
  <c r="D149" i="2"/>
  <c r="E149" i="2"/>
  <c r="F149" i="2"/>
  <c r="G149" i="2"/>
  <c r="J212" i="23"/>
  <c r="G24" i="6"/>
  <c r="G19" i="3"/>
  <c r="J213" i="23" s="1"/>
  <c r="D23" i="6"/>
  <c r="D18" i="3"/>
  <c r="E23" i="6"/>
  <c r="E18" i="3"/>
  <c r="G198" i="23"/>
  <c r="D18" i="6"/>
  <c r="D14" i="3"/>
  <c r="G199" i="23" s="1"/>
  <c r="H198" i="23"/>
  <c r="E18" i="6"/>
  <c r="E14" i="3"/>
  <c r="H199" i="23" s="1"/>
  <c r="F23" i="6"/>
  <c r="F18" i="3"/>
  <c r="G23" i="6"/>
  <c r="G18" i="3"/>
  <c r="J198" i="23"/>
  <c r="G18" i="6"/>
  <c r="G14" i="3"/>
  <c r="J199" i="23" s="1"/>
  <c r="I198" i="23"/>
  <c r="F18" i="6"/>
  <c r="F14" i="3"/>
  <c r="I199" i="23" s="1"/>
  <c r="F198" i="23"/>
  <c r="C18" i="6"/>
  <c r="C14" i="3"/>
  <c r="F199" i="23" s="1"/>
  <c r="C23" i="6"/>
  <c r="C18" i="3"/>
  <c r="F267" i="23"/>
  <c r="C56" i="6"/>
  <c r="C60" i="6" s="1"/>
  <c r="H267" i="23"/>
  <c r="E56" i="6"/>
  <c r="E60" i="6" s="1"/>
  <c r="G267" i="23"/>
  <c r="D56" i="6"/>
  <c r="D60" i="6" s="1"/>
  <c r="I267" i="23"/>
  <c r="F56" i="6"/>
  <c r="F60" i="6" s="1"/>
  <c r="J267" i="23"/>
  <c r="K267" i="23" s="1"/>
  <c r="G56" i="6"/>
  <c r="G60" i="6" s="1"/>
  <c r="J276" i="23"/>
  <c r="K276" i="23" s="1"/>
  <c r="G69" i="6"/>
  <c r="G74" i="6" s="1"/>
  <c r="I276" i="23"/>
  <c r="F69" i="6"/>
  <c r="F74" i="6" s="1"/>
  <c r="F293" i="23"/>
  <c r="C105" i="6"/>
  <c r="F295" i="23"/>
  <c r="F284" i="23"/>
  <c r="C107" i="6"/>
  <c r="G293" i="23"/>
  <c r="D105" i="6"/>
  <c r="D111" i="6" s="1"/>
  <c r="H293" i="23"/>
  <c r="E105" i="6"/>
  <c r="E111" i="6" s="1"/>
  <c r="C132" i="6"/>
  <c r="C124" i="6"/>
  <c r="C129" i="6"/>
  <c r="C133" i="6"/>
  <c r="D133" i="6"/>
  <c r="E133" i="6"/>
  <c r="D132" i="6"/>
  <c r="E132" i="6"/>
  <c r="E129" i="6"/>
  <c r="D129" i="6"/>
  <c r="D124" i="6"/>
  <c r="D143" i="6" s="1"/>
  <c r="D152" i="6" s="1"/>
  <c r="D156" i="6" s="1"/>
  <c r="E124" i="6"/>
  <c r="E143" i="6" s="1"/>
  <c r="E152" i="6" s="1"/>
  <c r="E156" i="6" s="1"/>
  <c r="C128" i="6"/>
  <c r="F132" i="6"/>
  <c r="G132" i="6"/>
  <c r="F124" i="6"/>
  <c r="G124" i="6"/>
  <c r="F129" i="6"/>
  <c r="G129" i="6"/>
  <c r="C167" i="6"/>
  <c r="C172" i="6" s="1"/>
  <c r="D167" i="6"/>
  <c r="D172" i="6" s="1"/>
  <c r="E167" i="6"/>
  <c r="E172" i="6" s="1"/>
  <c r="C179" i="6"/>
  <c r="C184" i="6"/>
  <c r="D188" i="6"/>
  <c r="G370" i="23" s="1"/>
  <c r="E188" i="6"/>
  <c r="H370" i="23" s="1"/>
  <c r="D184" i="6"/>
  <c r="D190" i="6" s="1"/>
  <c r="E184" i="6"/>
  <c r="E190" i="6" s="1"/>
  <c r="C196" i="2"/>
  <c r="C199" i="6" s="1"/>
  <c r="C201" i="6" s="1"/>
  <c r="D196" i="2"/>
  <c r="D199" i="6" s="1"/>
  <c r="D201" i="6" s="1"/>
  <c r="E196" i="2"/>
  <c r="E199" i="6" s="1"/>
  <c r="E201" i="6" s="1"/>
  <c r="F196" i="2"/>
  <c r="F199" i="6" s="1"/>
  <c r="F201" i="6" s="1"/>
  <c r="G196" i="2"/>
  <c r="G199" i="6" s="1"/>
  <c r="C112" i="2"/>
  <c r="C108" i="3"/>
  <c r="C107" i="3"/>
  <c r="C106" i="3"/>
  <c r="C105" i="3"/>
  <c r="C104" i="3"/>
  <c r="C103" i="3"/>
  <c r="C102" i="3"/>
  <c r="C101" i="3"/>
  <c r="C100" i="3"/>
  <c r="C99" i="3"/>
  <c r="C98" i="3"/>
  <c r="C97" i="3"/>
  <c r="C96" i="3"/>
  <c r="C95" i="3"/>
  <c r="C91" i="3"/>
  <c r="C90" i="3"/>
  <c r="C89" i="3"/>
  <c r="C88" i="3"/>
  <c r="C87" i="3"/>
  <c r="C86" i="3"/>
  <c r="C85" i="3"/>
  <c r="C84" i="3"/>
  <c r="C83" i="3"/>
  <c r="C79" i="3"/>
  <c r="C78" i="3"/>
  <c r="C77" i="3"/>
  <c r="C76" i="3"/>
  <c r="C75" i="3"/>
  <c r="C71" i="3"/>
  <c r="C70" i="3"/>
  <c r="C68" i="3"/>
  <c r="C67" i="3"/>
  <c r="C66" i="3"/>
  <c r="C65" i="3"/>
  <c r="C64" i="3"/>
  <c r="C63" i="3"/>
  <c r="C62" i="3"/>
  <c r="C61" i="3"/>
  <c r="C60" i="3"/>
  <c r="C59" i="3"/>
  <c r="C58" i="3"/>
  <c r="C55" i="3"/>
  <c r="C54" i="3"/>
  <c r="C53" i="3"/>
  <c r="C52" i="3"/>
  <c r="C51" i="3"/>
  <c r="C50" i="3"/>
  <c r="C49" i="3"/>
  <c r="C48" i="3"/>
  <c r="C47" i="3"/>
  <c r="C46" i="3"/>
  <c r="C45" i="3"/>
  <c r="C44" i="3"/>
  <c r="C43" i="3"/>
  <c r="C42" i="3"/>
  <c r="C41" i="3"/>
  <c r="D112" i="2"/>
  <c r="D108" i="3"/>
  <c r="D107" i="3"/>
  <c r="D106" i="3"/>
  <c r="D105" i="3"/>
  <c r="D104" i="3"/>
  <c r="D103" i="3"/>
  <c r="D102" i="3"/>
  <c r="D101" i="3"/>
  <c r="D100" i="3"/>
  <c r="D99" i="3"/>
  <c r="D98" i="3"/>
  <c r="D97" i="3"/>
  <c r="D96" i="3"/>
  <c r="D95" i="3"/>
  <c r="D91" i="3"/>
  <c r="D90" i="3"/>
  <c r="D89" i="3"/>
  <c r="D88" i="3"/>
  <c r="D87" i="3"/>
  <c r="D86" i="3"/>
  <c r="D85" i="3"/>
  <c r="D84" i="3"/>
  <c r="D83" i="3"/>
  <c r="D79" i="3"/>
  <c r="D78" i="3"/>
  <c r="D77" i="3"/>
  <c r="D76" i="3"/>
  <c r="D75" i="3"/>
  <c r="D71" i="3"/>
  <c r="D70" i="3"/>
  <c r="D68" i="3"/>
  <c r="D67" i="3"/>
  <c r="D66" i="3"/>
  <c r="D65" i="3"/>
  <c r="D64" i="3"/>
  <c r="D63" i="3"/>
  <c r="D62" i="3"/>
  <c r="D61" i="3"/>
  <c r="D60" i="3"/>
  <c r="D59" i="3"/>
  <c r="D58" i="3"/>
  <c r="D55" i="3"/>
  <c r="D54" i="3"/>
  <c r="D53" i="3"/>
  <c r="D52" i="3"/>
  <c r="D51" i="3"/>
  <c r="D50" i="3"/>
  <c r="D49" i="3"/>
  <c r="D48" i="3"/>
  <c r="D47" i="3"/>
  <c r="D46" i="3"/>
  <c r="D45" i="3"/>
  <c r="D44" i="3"/>
  <c r="D43" i="3"/>
  <c r="D42" i="3"/>
  <c r="D41" i="3"/>
  <c r="E112" i="2"/>
  <c r="E108" i="3"/>
  <c r="E107" i="3"/>
  <c r="E106" i="3"/>
  <c r="E105" i="3"/>
  <c r="E104" i="3"/>
  <c r="E103" i="3"/>
  <c r="E102" i="3"/>
  <c r="E101" i="3"/>
  <c r="E100" i="3"/>
  <c r="E99" i="3"/>
  <c r="E98" i="3"/>
  <c r="E97" i="3"/>
  <c r="E96" i="3"/>
  <c r="E95" i="3"/>
  <c r="E91" i="3"/>
  <c r="E90" i="3"/>
  <c r="E89" i="3"/>
  <c r="E88" i="3"/>
  <c r="E87" i="3"/>
  <c r="E86" i="3"/>
  <c r="E85" i="3"/>
  <c r="E84" i="3"/>
  <c r="E83" i="3"/>
  <c r="E79" i="3"/>
  <c r="E78" i="3"/>
  <c r="E77" i="3"/>
  <c r="E76" i="3"/>
  <c r="E75" i="3"/>
  <c r="E71" i="3"/>
  <c r="E70" i="3"/>
  <c r="E68" i="3"/>
  <c r="E67" i="3"/>
  <c r="E66" i="3"/>
  <c r="E65" i="3"/>
  <c r="E64" i="3"/>
  <c r="E63" i="3"/>
  <c r="E62" i="3"/>
  <c r="E61" i="3"/>
  <c r="E60" i="3"/>
  <c r="E59" i="3"/>
  <c r="E58" i="3"/>
  <c r="E55" i="3"/>
  <c r="E54" i="3"/>
  <c r="E53" i="3"/>
  <c r="E52" i="3"/>
  <c r="E51" i="3"/>
  <c r="E50" i="3"/>
  <c r="E49" i="3"/>
  <c r="E48" i="3"/>
  <c r="E47" i="3"/>
  <c r="E46" i="3"/>
  <c r="E45" i="3"/>
  <c r="E44" i="3"/>
  <c r="E43" i="3"/>
  <c r="E42" i="3"/>
  <c r="E41" i="3"/>
  <c r="F112" i="2"/>
  <c r="F108" i="3"/>
  <c r="F107" i="3"/>
  <c r="F106" i="3"/>
  <c r="F105" i="3"/>
  <c r="F104" i="3"/>
  <c r="F103" i="3"/>
  <c r="F102" i="3"/>
  <c r="F101" i="3"/>
  <c r="F100" i="3"/>
  <c r="F99" i="3"/>
  <c r="F98" i="3"/>
  <c r="F97" i="3"/>
  <c r="F96" i="3"/>
  <c r="F95" i="3"/>
  <c r="F91" i="3"/>
  <c r="F90" i="3"/>
  <c r="F89" i="3"/>
  <c r="F88" i="3"/>
  <c r="F87" i="3"/>
  <c r="F86" i="3"/>
  <c r="F85" i="3"/>
  <c r="F84" i="3"/>
  <c r="F83" i="3"/>
  <c r="F79" i="3"/>
  <c r="F78" i="3"/>
  <c r="F77" i="3"/>
  <c r="F76" i="3"/>
  <c r="F75" i="3"/>
  <c r="F71" i="3"/>
  <c r="F70" i="3"/>
  <c r="F68" i="3"/>
  <c r="F67" i="3"/>
  <c r="F66" i="3"/>
  <c r="F65" i="3"/>
  <c r="F64" i="3"/>
  <c r="F63" i="3"/>
  <c r="F62" i="3"/>
  <c r="F61" i="3"/>
  <c r="F60" i="3"/>
  <c r="F59" i="3"/>
  <c r="F58" i="3"/>
  <c r="F55" i="3"/>
  <c r="F54" i="3"/>
  <c r="F53" i="3"/>
  <c r="F52" i="3"/>
  <c r="F51" i="3"/>
  <c r="F50" i="3"/>
  <c r="F49" i="3"/>
  <c r="F48" i="3"/>
  <c r="F47" i="3"/>
  <c r="F46" i="3"/>
  <c r="F45" i="3"/>
  <c r="F44" i="3"/>
  <c r="F43" i="3"/>
  <c r="F42" i="3"/>
  <c r="F41" i="3"/>
  <c r="G112" i="2"/>
  <c r="G108" i="3"/>
  <c r="G107" i="3"/>
  <c r="G106" i="3"/>
  <c r="G105" i="3"/>
  <c r="G104" i="3"/>
  <c r="G103" i="3"/>
  <c r="G102" i="3"/>
  <c r="G101" i="3"/>
  <c r="G100" i="3"/>
  <c r="G99" i="3"/>
  <c r="G98" i="3"/>
  <c r="G97" i="3"/>
  <c r="G96" i="3"/>
  <c r="G95" i="3"/>
  <c r="G91" i="3"/>
  <c r="G90" i="3"/>
  <c r="G89" i="3"/>
  <c r="G88" i="3"/>
  <c r="G87" i="3"/>
  <c r="G86" i="3"/>
  <c r="G85" i="3"/>
  <c r="G84" i="3"/>
  <c r="G83" i="3"/>
  <c r="G79" i="3"/>
  <c r="G78" i="3"/>
  <c r="G77" i="3"/>
  <c r="G76" i="3"/>
  <c r="G75" i="3"/>
  <c r="G71" i="3"/>
  <c r="G70" i="3"/>
  <c r="G68" i="3"/>
  <c r="G67" i="3"/>
  <c r="G66" i="3"/>
  <c r="G65" i="3"/>
  <c r="G64" i="3"/>
  <c r="G63" i="3"/>
  <c r="G62" i="3"/>
  <c r="G61" i="3"/>
  <c r="G60" i="3"/>
  <c r="G59" i="3"/>
  <c r="G58" i="3"/>
  <c r="G55" i="3"/>
  <c r="G54" i="3"/>
  <c r="G53" i="3"/>
  <c r="G52" i="3"/>
  <c r="G51" i="3"/>
  <c r="G50" i="3"/>
  <c r="G49" i="3"/>
  <c r="G48" i="3"/>
  <c r="G47" i="3"/>
  <c r="G46" i="3"/>
  <c r="G45" i="3"/>
  <c r="G44" i="3"/>
  <c r="G43" i="3"/>
  <c r="G42" i="3"/>
  <c r="G41" i="3"/>
  <c r="C69" i="3"/>
  <c r="D69" i="3"/>
  <c r="E69" i="3"/>
  <c r="F69" i="3"/>
  <c r="G69" i="3"/>
  <c r="G76" i="6"/>
  <c r="D76" i="6"/>
  <c r="C76" i="6"/>
  <c r="F113" i="6"/>
  <c r="G113" i="6"/>
  <c r="G115" i="6" s="1"/>
  <c r="E76" i="6"/>
  <c r="F76" i="6"/>
  <c r="E192" i="6"/>
  <c r="D113" i="6"/>
  <c r="D115" i="6" s="1"/>
  <c r="E113" i="6"/>
  <c r="C14" i="6"/>
  <c r="C15" i="6" s="1"/>
  <c r="H96" i="6"/>
  <c r="I96" i="6"/>
  <c r="D14" i="6"/>
  <c r="D10" i="6"/>
  <c r="E14" i="6"/>
  <c r="E10" i="6"/>
  <c r="F14" i="6"/>
  <c r="F10" i="6"/>
  <c r="G14" i="6"/>
  <c r="G10" i="6"/>
  <c r="H184" i="6"/>
  <c r="H133" i="6"/>
  <c r="I184" i="6"/>
  <c r="I133" i="6"/>
  <c r="H148" i="6"/>
  <c r="I148" i="6"/>
  <c r="I187" i="6"/>
  <c r="H147" i="6"/>
  <c r="I147" i="6"/>
  <c r="H145" i="6"/>
  <c r="I145" i="6"/>
  <c r="L276" i="23" l="1"/>
  <c r="I69" i="6" s="1"/>
  <c r="H69" i="6"/>
  <c r="L267" i="23"/>
  <c r="I56" i="6" s="1"/>
  <c r="I60" i="6" s="1"/>
  <c r="H56" i="6"/>
  <c r="H60" i="6" s="1"/>
  <c r="H199" i="6"/>
  <c r="I199" i="6" s="1"/>
  <c r="G201" i="6"/>
  <c r="H198" i="6" s="1"/>
  <c r="C190" i="6"/>
  <c r="G143" i="6"/>
  <c r="G152" i="6" s="1"/>
  <c r="G156" i="6" s="1"/>
  <c r="F143" i="6"/>
  <c r="F152" i="6" s="1"/>
  <c r="F156" i="6" s="1"/>
  <c r="F192" i="6" s="1"/>
  <c r="D192" i="6"/>
  <c r="C143" i="6"/>
  <c r="C152" i="6" s="1"/>
  <c r="C156" i="6" s="1"/>
  <c r="C192" i="6" s="1"/>
  <c r="C111" i="6"/>
  <c r="C113" i="6" s="1"/>
  <c r="G153" i="2"/>
  <c r="G147" i="3"/>
  <c r="F153" i="2"/>
  <c r="F147" i="3"/>
  <c r="E153" i="2"/>
  <c r="E147" i="3"/>
  <c r="D153" i="2"/>
  <c r="D147" i="3"/>
  <c r="C153" i="2"/>
  <c r="C147" i="3"/>
  <c r="J14" i="23"/>
  <c r="J11" i="23" s="1"/>
  <c r="K79" i="23"/>
  <c r="G17" i="2"/>
  <c r="G11" i="3"/>
  <c r="I79" i="23"/>
  <c r="F17" i="2"/>
  <c r="F11" i="3"/>
  <c r="E17" i="2"/>
  <c r="E11" i="3"/>
  <c r="D17" i="2"/>
  <c r="G303" i="23"/>
  <c r="D11" i="3"/>
  <c r="C17" i="2"/>
  <c r="C11" i="3"/>
  <c r="C115" i="6"/>
  <c r="F115" i="6"/>
  <c r="E115" i="6"/>
  <c r="C19" i="6"/>
  <c r="C20" i="6" s="1"/>
  <c r="G19" i="6"/>
  <c r="G15" i="6"/>
  <c r="F19" i="6"/>
  <c r="F15" i="6"/>
  <c r="E19" i="6"/>
  <c r="E15" i="6"/>
  <c r="D19" i="6"/>
  <c r="D15" i="6"/>
  <c r="G192" i="6" l="1"/>
  <c r="F7" i="26"/>
  <c r="E20" i="25"/>
  <c r="G87" i="24"/>
  <c r="C19" i="2"/>
  <c r="C15" i="3"/>
  <c r="D19" i="2"/>
  <c r="D15" i="3"/>
  <c r="E19" i="2"/>
  <c r="E15" i="3"/>
  <c r="F19" i="2"/>
  <c r="F15" i="3"/>
  <c r="I14" i="23"/>
  <c r="J84" i="23"/>
  <c r="G19" i="2"/>
  <c r="G15" i="3"/>
  <c r="L79" i="23"/>
  <c r="L14" i="23" s="1"/>
  <c r="K14" i="23"/>
  <c r="C189" i="2"/>
  <c r="C187" i="3" s="1"/>
  <c r="C184" i="3"/>
  <c r="C183" i="3"/>
  <c r="C182" i="3"/>
  <c r="C181" i="3"/>
  <c r="C180" i="3"/>
  <c r="C178" i="3"/>
  <c r="C177" i="3"/>
  <c r="C176" i="3"/>
  <c r="C175" i="3"/>
  <c r="C173" i="3"/>
  <c r="C172" i="3"/>
  <c r="C171" i="3"/>
  <c r="C170" i="3"/>
  <c r="C166" i="3"/>
  <c r="C165" i="3"/>
  <c r="C164" i="3"/>
  <c r="C163" i="3"/>
  <c r="C161" i="3"/>
  <c r="C160" i="3"/>
  <c r="C159" i="3"/>
  <c r="C158" i="3"/>
  <c r="C157" i="3"/>
  <c r="C156" i="3"/>
  <c r="C155" i="3"/>
  <c r="C154" i="3"/>
  <c r="C151" i="3"/>
  <c r="C150" i="3"/>
  <c r="C149" i="3"/>
  <c r="C148" i="3"/>
  <c r="C145" i="3"/>
  <c r="C144" i="3"/>
  <c r="C143" i="3"/>
  <c r="C142" i="3"/>
  <c r="C141" i="3"/>
  <c r="C140" i="3"/>
  <c r="C139" i="3"/>
  <c r="C137" i="3"/>
  <c r="C136" i="3"/>
  <c r="C135" i="3"/>
  <c r="C134" i="3"/>
  <c r="C133" i="3"/>
  <c r="C132" i="3"/>
  <c r="C131" i="3"/>
  <c r="C130" i="3"/>
  <c r="C129" i="3"/>
  <c r="C126" i="3"/>
  <c r="C125" i="3"/>
  <c r="C122" i="3"/>
  <c r="C121" i="3"/>
  <c r="C120" i="3"/>
  <c r="C117" i="3"/>
  <c r="C116" i="3"/>
  <c r="C138" i="3"/>
  <c r="C146" i="3"/>
  <c r="C167" i="3"/>
  <c r="C185" i="3"/>
  <c r="C127" i="3"/>
  <c r="C119" i="3"/>
  <c r="C124" i="3"/>
  <c r="C128" i="3"/>
  <c r="C123" i="3"/>
  <c r="C162" i="3"/>
  <c r="C174" i="3"/>
  <c r="C179" i="3"/>
  <c r="D189" i="2"/>
  <c r="D187" i="3" s="1"/>
  <c r="D184" i="3"/>
  <c r="D182" i="3"/>
  <c r="D181" i="3"/>
  <c r="D180" i="3"/>
  <c r="D178" i="3"/>
  <c r="D177" i="3"/>
  <c r="D176" i="3"/>
  <c r="D175" i="3"/>
  <c r="D174" i="3"/>
  <c r="D173" i="3"/>
  <c r="D172" i="3"/>
  <c r="D171" i="3"/>
  <c r="D170" i="3"/>
  <c r="D166" i="3"/>
  <c r="D165" i="3"/>
  <c r="D164" i="3"/>
  <c r="D163" i="3"/>
  <c r="D161" i="3"/>
  <c r="D160" i="3"/>
  <c r="D159" i="3"/>
  <c r="D158" i="3"/>
  <c r="D157" i="3"/>
  <c r="D156" i="3"/>
  <c r="D155" i="3"/>
  <c r="D154" i="3"/>
  <c r="D151" i="3"/>
  <c r="D150" i="3"/>
  <c r="D149" i="3"/>
  <c r="D148" i="3"/>
  <c r="D145" i="3"/>
  <c r="D144" i="3"/>
  <c r="D143" i="3"/>
  <c r="D142" i="3"/>
  <c r="D141" i="3"/>
  <c r="D140" i="3"/>
  <c r="D139" i="3"/>
  <c r="D137" i="3"/>
  <c r="D136" i="3"/>
  <c r="D135" i="3"/>
  <c r="D134" i="3"/>
  <c r="D133" i="3"/>
  <c r="D132" i="3"/>
  <c r="D131" i="3"/>
  <c r="D130" i="3"/>
  <c r="D129" i="3"/>
  <c r="D126" i="3"/>
  <c r="D125" i="3"/>
  <c r="D123" i="3"/>
  <c r="D122" i="3"/>
  <c r="D121" i="3"/>
  <c r="D120" i="3"/>
  <c r="D117" i="3"/>
  <c r="D116" i="3"/>
  <c r="D138" i="3"/>
  <c r="D146" i="3"/>
  <c r="D167" i="3"/>
  <c r="D185" i="3"/>
  <c r="D128" i="3"/>
  <c r="D127" i="3"/>
  <c r="D124" i="3"/>
  <c r="D119" i="3"/>
  <c r="D162" i="3"/>
  <c r="D183" i="3"/>
  <c r="D179" i="3"/>
  <c r="E189" i="2"/>
  <c r="E187" i="3" s="1"/>
  <c r="E184" i="3"/>
  <c r="E182" i="3"/>
  <c r="E181" i="3"/>
  <c r="E180" i="3"/>
  <c r="E178" i="3"/>
  <c r="E177" i="3"/>
  <c r="E176" i="3"/>
  <c r="E175" i="3"/>
  <c r="E174" i="3"/>
  <c r="E173" i="3"/>
  <c r="E172" i="3"/>
  <c r="E171" i="3"/>
  <c r="E170" i="3"/>
  <c r="E166" i="3"/>
  <c r="E165" i="3"/>
  <c r="E164" i="3"/>
  <c r="E163" i="3"/>
  <c r="E161" i="3"/>
  <c r="E160" i="3"/>
  <c r="E159" i="3"/>
  <c r="E158" i="3"/>
  <c r="E157" i="3"/>
  <c r="E156" i="3"/>
  <c r="E155" i="3"/>
  <c r="E154" i="3"/>
  <c r="E151" i="3"/>
  <c r="E150" i="3"/>
  <c r="E149" i="3"/>
  <c r="E148" i="3"/>
  <c r="E145" i="3"/>
  <c r="E144" i="3"/>
  <c r="E143" i="3"/>
  <c r="E142" i="3"/>
  <c r="E141" i="3"/>
  <c r="E140" i="3"/>
  <c r="E139" i="3"/>
  <c r="E137" i="3"/>
  <c r="E136" i="3"/>
  <c r="E135" i="3"/>
  <c r="E134" i="3"/>
  <c r="E133" i="3"/>
  <c r="E132" i="3"/>
  <c r="E131" i="3"/>
  <c r="E130" i="3"/>
  <c r="E129" i="3"/>
  <c r="E126" i="3"/>
  <c r="E125" i="3"/>
  <c r="E123" i="3"/>
  <c r="E122" i="3"/>
  <c r="E121" i="3"/>
  <c r="E120" i="3"/>
  <c r="E117" i="3"/>
  <c r="E116" i="3"/>
  <c r="E138" i="3"/>
  <c r="E146" i="3"/>
  <c r="E167" i="3"/>
  <c r="E185" i="3"/>
  <c r="E128" i="3"/>
  <c r="E127" i="3"/>
  <c r="E124" i="3"/>
  <c r="E119" i="3"/>
  <c r="E162" i="3"/>
  <c r="E183" i="3"/>
  <c r="E179" i="3"/>
  <c r="F189" i="2"/>
  <c r="F187" i="3" s="1"/>
  <c r="F184" i="3"/>
  <c r="F183" i="3"/>
  <c r="F182" i="3"/>
  <c r="F181" i="3"/>
  <c r="F180" i="3"/>
  <c r="F179" i="3"/>
  <c r="F178" i="3"/>
  <c r="F177" i="3"/>
  <c r="F176" i="3"/>
  <c r="F175" i="3"/>
  <c r="F174" i="3"/>
  <c r="F173" i="3"/>
  <c r="F172" i="3"/>
  <c r="F171" i="3"/>
  <c r="F170" i="3"/>
  <c r="F166" i="3"/>
  <c r="F165" i="3"/>
  <c r="F164" i="3"/>
  <c r="F163" i="3"/>
  <c r="F162" i="3"/>
  <c r="F161" i="3"/>
  <c r="F160" i="3"/>
  <c r="F159" i="3"/>
  <c r="F158" i="3"/>
  <c r="F157" i="3"/>
  <c r="F156" i="3"/>
  <c r="F155" i="3"/>
  <c r="F154" i="3"/>
  <c r="F151" i="3"/>
  <c r="F150" i="3"/>
  <c r="F149" i="3"/>
  <c r="F148" i="3"/>
  <c r="F145" i="3"/>
  <c r="F144" i="3"/>
  <c r="F143" i="3"/>
  <c r="F142" i="3"/>
  <c r="F141" i="3"/>
  <c r="F140" i="3"/>
  <c r="F139" i="3"/>
  <c r="F137" i="3"/>
  <c r="F136" i="3"/>
  <c r="F135" i="3"/>
  <c r="F134" i="3"/>
  <c r="F133" i="3"/>
  <c r="F132" i="3"/>
  <c r="F131" i="3"/>
  <c r="F130" i="3"/>
  <c r="F129" i="3"/>
  <c r="F128" i="3"/>
  <c r="F126" i="3"/>
  <c r="F125" i="3"/>
  <c r="F123" i="3"/>
  <c r="F122" i="3"/>
  <c r="F121" i="3"/>
  <c r="F120" i="3"/>
  <c r="F117" i="3"/>
  <c r="F116" i="3"/>
  <c r="F138" i="3"/>
  <c r="F146" i="3"/>
  <c r="F167" i="3"/>
  <c r="F185" i="3"/>
  <c r="F127" i="3"/>
  <c r="F119" i="3"/>
  <c r="F124" i="3"/>
  <c r="G189" i="2"/>
  <c r="G187" i="3" s="1"/>
  <c r="G184" i="3"/>
  <c r="G183" i="3"/>
  <c r="G182" i="3"/>
  <c r="G181" i="3"/>
  <c r="G180" i="3"/>
  <c r="G179" i="3"/>
  <c r="G178" i="3"/>
  <c r="G177" i="3"/>
  <c r="G176" i="3"/>
  <c r="G175" i="3"/>
  <c r="G174" i="3"/>
  <c r="G173" i="3"/>
  <c r="G172" i="3"/>
  <c r="G171" i="3"/>
  <c r="G170" i="3"/>
  <c r="G166" i="3"/>
  <c r="G165" i="3"/>
  <c r="G164" i="3"/>
  <c r="G163" i="3"/>
  <c r="G162" i="3"/>
  <c r="G161" i="3"/>
  <c r="G160" i="3"/>
  <c r="G159" i="3"/>
  <c r="G158" i="3"/>
  <c r="G157" i="3"/>
  <c r="G156" i="3"/>
  <c r="G155" i="3"/>
  <c r="G154" i="3"/>
  <c r="G151" i="3"/>
  <c r="G150" i="3"/>
  <c r="G149" i="3"/>
  <c r="G148" i="3"/>
  <c r="G145" i="3"/>
  <c r="G144" i="3"/>
  <c r="G143" i="3"/>
  <c r="G142" i="3"/>
  <c r="G141" i="3"/>
  <c r="G140" i="3"/>
  <c r="G139" i="3"/>
  <c r="G137" i="3"/>
  <c r="G136" i="3"/>
  <c r="G135" i="3"/>
  <c r="G134" i="3"/>
  <c r="G133" i="3"/>
  <c r="G132" i="3"/>
  <c r="G131" i="3"/>
  <c r="G130" i="3"/>
  <c r="G129" i="3"/>
  <c r="G128" i="3"/>
  <c r="G126" i="3"/>
  <c r="G125" i="3"/>
  <c r="G123" i="3"/>
  <c r="G122" i="3"/>
  <c r="G121" i="3"/>
  <c r="G120" i="3"/>
  <c r="G117" i="3"/>
  <c r="G116" i="3"/>
  <c r="G138" i="3"/>
  <c r="G146" i="3"/>
  <c r="G167" i="3"/>
  <c r="G185" i="3"/>
  <c r="G127" i="3"/>
  <c r="G119" i="3"/>
  <c r="G124" i="3"/>
  <c r="C22" i="6"/>
  <c r="D22" i="6"/>
  <c r="D25" i="6" s="1"/>
  <c r="D27" i="6" s="1"/>
  <c r="D29" i="6" s="1"/>
  <c r="D20" i="6"/>
  <c r="E22" i="6"/>
  <c r="E25" i="6" s="1"/>
  <c r="E27" i="6" s="1"/>
  <c r="E29" i="6" s="1"/>
  <c r="E20" i="6"/>
  <c r="F22" i="6"/>
  <c r="F25" i="6" s="1"/>
  <c r="F27" i="6" s="1"/>
  <c r="F29" i="6" s="1"/>
  <c r="F20" i="6"/>
  <c r="G22" i="6"/>
  <c r="G25" i="6" s="1"/>
  <c r="G27" i="6" s="1"/>
  <c r="G29" i="6" s="1"/>
  <c r="G20" i="6"/>
  <c r="C25" i="6" l="1"/>
  <c r="C27" i="6" s="1"/>
  <c r="C29" i="6" s="1"/>
  <c r="C32" i="6" s="1"/>
  <c r="C36" i="6" s="1"/>
  <c r="G89" i="24"/>
  <c r="G90" i="24"/>
  <c r="K15" i="23"/>
  <c r="K11" i="23"/>
  <c r="K17" i="23"/>
  <c r="L17" i="23"/>
  <c r="L15" i="23"/>
  <c r="L11" i="23"/>
  <c r="G22" i="2"/>
  <c r="G17" i="3"/>
  <c r="J15" i="23"/>
  <c r="I11" i="23"/>
  <c r="F22" i="2"/>
  <c r="F17" i="3"/>
  <c r="E22" i="2"/>
  <c r="E17" i="3"/>
  <c r="D22" i="2"/>
  <c r="D17" i="3"/>
  <c r="C22" i="2"/>
  <c r="C17" i="3"/>
  <c r="C31" i="6"/>
  <c r="G32" i="6"/>
  <c r="G36" i="6" s="1"/>
  <c r="G37" i="6" s="1"/>
  <c r="G31" i="6"/>
  <c r="F32" i="6"/>
  <c r="F36" i="6" s="1"/>
  <c r="F37" i="6" s="1"/>
  <c r="F31" i="6"/>
  <c r="E32" i="6"/>
  <c r="E36" i="6" s="1"/>
  <c r="E37" i="6" s="1"/>
  <c r="E31" i="6"/>
  <c r="D32" i="6"/>
  <c r="D36" i="6" s="1"/>
  <c r="D37" i="6" s="1"/>
  <c r="D31" i="6"/>
  <c r="C37" i="6" l="1"/>
  <c r="C27" i="24"/>
  <c r="C28" i="24" s="1"/>
  <c r="H9" i="6"/>
  <c r="H163" i="6" s="1"/>
  <c r="K12" i="23"/>
  <c r="I9" i="6"/>
  <c r="L12" i="23"/>
  <c r="I66" i="6"/>
  <c r="I10" i="6"/>
  <c r="H66" i="6"/>
  <c r="H149" i="6" s="1"/>
  <c r="H10" i="6"/>
  <c r="C24" i="2"/>
  <c r="C20" i="3"/>
  <c r="D24" i="2"/>
  <c r="D20" i="3"/>
  <c r="E24" i="2"/>
  <c r="E20" i="3"/>
  <c r="F24" i="2"/>
  <c r="F20" i="3"/>
  <c r="J12" i="23"/>
  <c r="G24" i="2"/>
  <c r="G20" i="3"/>
  <c r="L156" i="23"/>
  <c r="I13" i="6" s="1"/>
  <c r="L164" i="23"/>
  <c r="L172" i="23"/>
  <c r="L182" i="23"/>
  <c r="I16" i="6" s="1"/>
  <c r="L190" i="23"/>
  <c r="I17" i="6" s="1"/>
  <c r="I137" i="6" s="1"/>
  <c r="L198" i="23"/>
  <c r="I18" i="6" s="1"/>
  <c r="L212" i="23"/>
  <c r="I24" i="6" s="1"/>
  <c r="L220" i="23"/>
  <c r="I26" i="6" s="1"/>
  <c r="I141" i="6" s="1"/>
  <c r="L228" i="23"/>
  <c r="I28" i="6" s="1"/>
  <c r="I125" i="6" s="1"/>
  <c r="L236" i="23"/>
  <c r="I33" i="6" s="1"/>
  <c r="L244" i="23"/>
  <c r="I34" i="6" s="1"/>
  <c r="K164" i="23"/>
  <c r="K198" i="23"/>
  <c r="H18" i="6" s="1"/>
  <c r="K212" i="23"/>
  <c r="H24" i="6" s="1"/>
  <c r="K220" i="23"/>
  <c r="H26" i="6" s="1"/>
  <c r="H141" i="6" s="1"/>
  <c r="K228" i="23"/>
  <c r="H28" i="6" s="1"/>
  <c r="H125" i="6" s="1"/>
  <c r="K236" i="23"/>
  <c r="H33" i="6" s="1"/>
  <c r="K244" i="23"/>
  <c r="H34" i="6" s="1"/>
  <c r="K156" i="23"/>
  <c r="H13" i="6" s="1"/>
  <c r="K172" i="23"/>
  <c r="K182" i="23"/>
  <c r="H16" i="6" s="1"/>
  <c r="K190" i="23"/>
  <c r="H17" i="6" s="1"/>
  <c r="H137" i="6" s="1"/>
  <c r="I163" i="6" l="1"/>
  <c r="I172" i="6" s="1"/>
  <c r="I88" i="24" s="1"/>
  <c r="H172" i="6"/>
  <c r="H88" i="24" s="1"/>
  <c r="H63" i="6"/>
  <c r="H150" i="6" s="1"/>
  <c r="H103" i="6"/>
  <c r="H104" i="6"/>
  <c r="H14" i="6"/>
  <c r="H122" i="6"/>
  <c r="H35" i="6"/>
  <c r="I122" i="6"/>
  <c r="I35" i="6"/>
  <c r="I63" i="6"/>
  <c r="I150" i="6" s="1"/>
  <c r="I103" i="6"/>
  <c r="I104" i="6"/>
  <c r="I14" i="6"/>
  <c r="I149" i="6"/>
  <c r="G26" i="2"/>
  <c r="G22" i="3"/>
  <c r="F26" i="2"/>
  <c r="F22" i="3"/>
  <c r="E26" i="2"/>
  <c r="E22" i="3"/>
  <c r="D26" i="2"/>
  <c r="D22" i="3"/>
  <c r="C26" i="2"/>
  <c r="C22" i="3"/>
  <c r="I111" i="6" l="1"/>
  <c r="H111" i="6"/>
  <c r="I19" i="6"/>
  <c r="I15" i="6"/>
  <c r="I146" i="6"/>
  <c r="I151" i="6" s="1"/>
  <c r="H19" i="6"/>
  <c r="H15" i="6"/>
  <c r="H146" i="6"/>
  <c r="H151" i="6" s="1"/>
  <c r="C30" i="2"/>
  <c r="F252" i="23"/>
  <c r="C24" i="3"/>
  <c r="D30" i="2"/>
  <c r="G252" i="23"/>
  <c r="D24" i="3"/>
  <c r="E30" i="2"/>
  <c r="H252" i="23"/>
  <c r="E24" i="3"/>
  <c r="I252" i="23"/>
  <c r="F24" i="3"/>
  <c r="F30" i="2"/>
  <c r="G30" i="2"/>
  <c r="J252" i="23"/>
  <c r="G24" i="3"/>
  <c r="H22" i="6" l="1"/>
  <c r="H20" i="6"/>
  <c r="I22" i="6"/>
  <c r="I20" i="6"/>
  <c r="G34" i="2"/>
  <c r="J17" i="23"/>
  <c r="G28" i="3"/>
  <c r="J21" i="23" s="1"/>
  <c r="F34" i="2"/>
  <c r="I17" i="23"/>
  <c r="F28" i="3"/>
  <c r="I21" i="23" s="1"/>
  <c r="E34" i="2"/>
  <c r="H17" i="23"/>
  <c r="E28" i="3"/>
  <c r="H21" i="23" s="1"/>
  <c r="D34" i="2"/>
  <c r="G17" i="23"/>
  <c r="D28" i="3"/>
  <c r="G21" i="23" s="1"/>
  <c r="C34" i="2"/>
  <c r="F17" i="23"/>
  <c r="C28" i="3"/>
  <c r="F21" i="23" s="1"/>
  <c r="I25" i="6" l="1"/>
  <c r="I27" i="6" s="1"/>
  <c r="I29" i="6" s="1"/>
  <c r="G19" i="25"/>
  <c r="H25" i="6"/>
  <c r="H27" i="6" s="1"/>
  <c r="H29" i="6" s="1"/>
  <c r="F19" i="25"/>
  <c r="I30" i="6"/>
  <c r="I25" i="24" s="1"/>
  <c r="I26" i="24" s="1"/>
  <c r="I121" i="6"/>
  <c r="I143" i="6" s="1"/>
  <c r="I152" i="6" s="1"/>
  <c r="I32" i="6"/>
  <c r="I36" i="6" s="1"/>
  <c r="H30" i="6"/>
  <c r="H25" i="24" s="1"/>
  <c r="H26" i="24" s="1"/>
  <c r="H121" i="6"/>
  <c r="H143" i="6" s="1"/>
  <c r="H152" i="6" s="1"/>
  <c r="H32" i="6"/>
  <c r="H36" i="6" s="1"/>
  <c r="F259" i="23"/>
  <c r="F256" i="23"/>
  <c r="C32" i="3"/>
  <c r="G259" i="23"/>
  <c r="G256" i="23"/>
  <c r="D32" i="3"/>
  <c r="H259" i="23"/>
  <c r="H256" i="23"/>
  <c r="E32" i="3"/>
  <c r="I259" i="23"/>
  <c r="I256" i="23"/>
  <c r="F32" i="3"/>
  <c r="J259" i="23"/>
  <c r="K259" i="23" s="1"/>
  <c r="L259" i="23" s="1"/>
  <c r="J256" i="23"/>
  <c r="K256" i="23" s="1"/>
  <c r="G32" i="3"/>
  <c r="H185" i="6" l="1"/>
  <c r="H190" i="6" s="1"/>
  <c r="G6" i="26"/>
  <c r="F8" i="25"/>
  <c r="H27" i="24"/>
  <c r="I185" i="6"/>
  <c r="I190" i="6" s="1"/>
  <c r="H6" i="26"/>
  <c r="G8" i="25"/>
  <c r="I27" i="24"/>
  <c r="H39" i="6"/>
  <c r="H40" i="6"/>
  <c r="H31" i="24" s="1"/>
  <c r="H37" i="6"/>
  <c r="G15" i="26" s="1"/>
  <c r="H153" i="6"/>
  <c r="H156" i="6" s="1"/>
  <c r="H31" i="6"/>
  <c r="I40" i="6"/>
  <c r="I31" i="24" s="1"/>
  <c r="I37" i="6"/>
  <c r="H15" i="26" s="1"/>
  <c r="I153" i="6"/>
  <c r="I156" i="6" s="1"/>
  <c r="I31" i="6"/>
  <c r="L256" i="23"/>
  <c r="I192" i="6" l="1"/>
  <c r="H7" i="26"/>
  <c r="G20" i="25"/>
  <c r="I87" i="24"/>
  <c r="H192" i="6"/>
  <c r="G7" i="26"/>
  <c r="F20" i="25"/>
  <c r="H87" i="24"/>
  <c r="K395" i="23"/>
  <c r="F12" i="25" s="1"/>
  <c r="H30" i="24"/>
  <c r="L391" i="23"/>
  <c r="L393" i="23"/>
  <c r="I28" i="24"/>
  <c r="K391" i="23"/>
  <c r="J384" i="23"/>
  <c r="K393" i="23"/>
  <c r="H28" i="24"/>
  <c r="I89" i="24"/>
  <c r="I90" i="24"/>
  <c r="H89" i="24"/>
  <c r="H90" i="24"/>
  <c r="H196" i="6"/>
  <c r="H201" i="6"/>
  <c r="H67" i="6" s="1"/>
  <c r="G26" i="26" s="1"/>
  <c r="L396" i="23"/>
  <c r="H35" i="26" s="1"/>
  <c r="I39" i="6"/>
  <c r="I198" i="6"/>
  <c r="I201" i="6" s="1"/>
  <c r="I67" i="6" s="1"/>
  <c r="H26" i="26" s="1"/>
  <c r="L395" i="23" l="1"/>
  <c r="G12" i="25" s="1"/>
  <c r="I30" i="24"/>
  <c r="G34" i="26"/>
  <c r="F11" i="25"/>
  <c r="K396" i="23"/>
  <c r="G35" i="26" s="1"/>
  <c r="G28" i="26"/>
  <c r="K398" i="23"/>
  <c r="H34" i="26"/>
  <c r="G11" i="25"/>
  <c r="L398" i="23"/>
  <c r="H28" i="26"/>
  <c r="K88" i="6"/>
  <c r="I51" i="24"/>
  <c r="I54" i="24" s="1"/>
  <c r="I56" i="24" s="1"/>
  <c r="J88" i="6"/>
  <c r="H51" i="24"/>
  <c r="H54" i="24" s="1"/>
  <c r="H56" i="24" s="1"/>
  <c r="I194" i="6"/>
  <c r="H93" i="24"/>
  <c r="H74" i="6"/>
  <c r="H76" i="6" s="1"/>
  <c r="H81" i="6" s="1"/>
  <c r="H61" i="24" s="1"/>
  <c r="H62" i="24" s="1"/>
  <c r="H64" i="24" s="1"/>
  <c r="H81" i="24" s="1"/>
  <c r="K400" i="23"/>
  <c r="K401" i="23" s="1"/>
  <c r="I74" i="6"/>
  <c r="I76" i="6" s="1"/>
  <c r="L400" i="23"/>
  <c r="L401" i="23" s="1"/>
  <c r="I81" i="6" l="1"/>
  <c r="I196" i="6"/>
  <c r="I93" i="24" s="1"/>
  <c r="I91" i="24"/>
  <c r="H83" i="24"/>
  <c r="H31" i="26"/>
  <c r="H32" i="26"/>
  <c r="G31" i="26"/>
  <c r="G32" i="26"/>
  <c r="H82" i="6"/>
  <c r="H84" i="6"/>
  <c r="K394" i="23"/>
  <c r="G29" i="26" s="1"/>
  <c r="I61" i="24" l="1"/>
  <c r="I62" i="24" s="1"/>
  <c r="I64" i="24" s="1"/>
  <c r="I81" i="24" s="1"/>
  <c r="I83" i="24" s="1"/>
  <c r="I82" i="6"/>
  <c r="H113" i="6"/>
  <c r="H115" i="6" s="1"/>
  <c r="G23" i="26"/>
  <c r="F9" i="25" s="1"/>
  <c r="G24" i="26"/>
  <c r="F10" i="25" s="1"/>
  <c r="G25" i="26"/>
  <c r="F18" i="25"/>
  <c r="H24" i="26"/>
  <c r="G10" i="25" s="1"/>
  <c r="H25" i="26" l="1"/>
  <c r="G18" i="25"/>
  <c r="I84" i="6"/>
  <c r="L394" i="23"/>
  <c r="H29" i="26" s="1"/>
  <c r="I113" i="6" l="1"/>
  <c r="I115" i="6" s="1"/>
  <c r="H23" i="26"/>
  <c r="G9" i="2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Chaitanya Mishra</author>
  </authors>
  <commentList>
    <comment ref="H163" authorId="0" shapeId="0" xr:uid="{72895416-8399-4A4F-8948-A5E7FDB94930}">
      <text>
        <r>
          <rPr>
            <sz val="11"/>
            <color theme="1"/>
            <rFont val="Aptos Narrow"/>
            <family val="2"/>
            <scheme val="minor"/>
          </rPr>
          <t>Chaitanya Mishra:
Common sized the projected subsidiary acquisition to scale with revenue growth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Chaitanya Mishra</author>
    <author>Devansh Maheshwari</author>
  </authors>
  <commentList>
    <comment ref="L56" authorId="0" shapeId="0" xr:uid="{E47C0B2A-15FA-4A62-A3C3-2B145C988574}">
      <text>
        <r>
          <rPr>
            <sz val="11"/>
            <color theme="1"/>
            <rFont val="Aptos Narrow"/>
            <family val="2"/>
            <scheme val="minor"/>
          </rPr>
          <t>Chaitanya Mishra:
Bull Case taken to fit guidance of 5x Logistics revenue by FY29, reconciled to fit H1FY26 performance</t>
        </r>
      </text>
    </comment>
    <comment ref="L72" authorId="0" shapeId="0" xr:uid="{7E26F46E-616B-4CD5-A1F3-B82D0BD9F3CC}">
      <text>
        <r>
          <rPr>
            <sz val="11"/>
            <color theme="1"/>
            <rFont val="Aptos Narrow"/>
            <family val="2"/>
            <scheme val="minor"/>
          </rPr>
          <t>Chaitanya Mishra:
Bull Case taken to fit guidance of 3x Marine revenue by FY27, reconciled to fit H1FY26 performance</t>
        </r>
      </text>
    </comment>
    <comment ref="B75" authorId="0" shapeId="0" xr:uid="{94AE39BB-A8E2-4C69-A80D-81924FE1F2A7}">
      <text>
        <r>
          <rPr>
            <sz val="11"/>
            <color theme="1"/>
            <rFont val="Aptos Narrow"/>
            <family val="2"/>
            <scheme val="minor"/>
          </rPr>
          <t>Chaitanya Mishra:
Considered all Subsidiaries within Standalone as most have been absorbed into the main business and operate akin to business verticals</t>
        </r>
      </text>
    </comment>
    <comment ref="G98" authorId="1" shapeId="0" xr:uid="{9C3D7E3B-3852-0744-8976-F2EA3AD460AA}">
      <text>
        <r>
          <rPr>
            <b/>
            <sz val="9"/>
            <color indexed="81"/>
            <rFont val="Tahoma"/>
            <family val="2"/>
          </rPr>
          <t>Devansh Maheshwari:</t>
        </r>
        <r>
          <rPr>
            <sz val="9"/>
            <color indexed="81"/>
            <rFont val="Tahoma"/>
            <family val="2"/>
          </rPr>
          <t xml:space="preserve">
growth is not accurate</t>
        </r>
      </text>
    </comment>
    <comment ref="F143" authorId="1" shapeId="0" xr:uid="{F73BB6B1-7C94-B64B-BFA2-539D0362E717}">
      <text>
        <r>
          <rPr>
            <b/>
            <sz val="9"/>
            <color indexed="81"/>
            <rFont val="Tahoma"/>
            <family val="2"/>
          </rPr>
          <t>Devansh Maheshwari:</t>
        </r>
        <r>
          <rPr>
            <sz val="9"/>
            <color indexed="81"/>
            <rFont val="Tahoma"/>
            <family val="2"/>
          </rPr>
          <t xml:space="preserve">
made some adjustments from FY21 to FY25 figures to match with the consolidated figures.</t>
        </r>
      </text>
    </comment>
    <comment ref="B407" authorId="0" shapeId="0" xr:uid="{8C29B05C-CCE8-4E1C-A499-EE147E0E8C0F}">
      <text>
        <r>
          <rPr>
            <sz val="11"/>
            <color theme="1"/>
            <rFont val="Aptos Narrow"/>
            <family val="2"/>
            <scheme val="minor"/>
          </rPr>
          <t>Chaitanya Mishra:
Assumed in line with revenue growth to meet working capital requirements</t>
        </r>
      </text>
    </comment>
    <comment ref="B413" authorId="0" shapeId="0" xr:uid="{6519876E-34A0-41DE-B15D-137854C5DFBA}">
      <text>
        <r>
          <rPr>
            <sz val="11"/>
            <color theme="1"/>
            <rFont val="Aptos Narrow"/>
            <family val="2"/>
            <scheme val="minor"/>
          </rPr>
          <t>Chaitanya Mishra:
Assumed in line with revenue growth to meet working capital requirements, along with capex requirements</t>
        </r>
      </text>
    </comment>
    <comment ref="K428" authorId="0" shapeId="0" xr:uid="{BCB67D77-AC3E-4AD9-BDD9-DF1037451205}">
      <text>
        <r>
          <rPr>
            <sz val="11"/>
            <color theme="1"/>
            <rFont val="Aptos Narrow"/>
            <family val="2"/>
            <scheme val="minor"/>
          </rPr>
          <t>Chaitanya Mishra:
Capex from FY25-FY29 projected to be 65-75 thousand Cr; H1FY26 capex was 6.5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Chaitanya Mishra</author>
  </authors>
  <commentList>
    <comment ref="B3" authorId="0" shapeId="0" xr:uid="{41733F45-A985-4508-B321-D3E6A929025C}">
      <text>
        <r>
          <rPr>
            <sz val="11"/>
            <color theme="1"/>
            <rFont val="Aptos Narrow"/>
            <family val="2"/>
            <scheme val="minor"/>
          </rPr>
          <t>Chaitanya Mishra:
Scroll down to see the comparison presented in the report</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<sst xmlns="http://schemas.openxmlformats.org/spreadsheetml/2006/main" count="1114" uniqueCount="455">
  <si>
    <t>Historical Financials --&gt;&gt;</t>
  </si>
  <si>
    <t>CONSOLIDATED HISTORICAL FINANCIAL STATEMENTS</t>
  </si>
  <si>
    <t>₹'cr, unless otherwise stated</t>
  </si>
  <si>
    <t>FY21A</t>
  </si>
  <si>
    <t>FY22A</t>
  </si>
  <si>
    <t>FY23A</t>
  </si>
  <si>
    <t>FY24A</t>
  </si>
  <si>
    <t>FY25A</t>
  </si>
  <si>
    <t>#</t>
  </si>
  <si>
    <t>Profit &amp; Loss Statement</t>
  </si>
  <si>
    <t>Revenue from Operations</t>
  </si>
  <si>
    <t>Other Operating Revenues</t>
  </si>
  <si>
    <t>Total Revenue</t>
  </si>
  <si>
    <t>Operating Expenses</t>
  </si>
  <si>
    <t>Gross Profit</t>
  </si>
  <si>
    <t>Employee Benefits Expense</t>
  </si>
  <si>
    <t>Loss on fair valuation of Compulsorily Convertible Preference Shares</t>
  </si>
  <si>
    <t>Other Expenses</t>
  </si>
  <si>
    <t>EBITDA</t>
  </si>
  <si>
    <t>Depreciation and Amortisation Expense</t>
  </si>
  <si>
    <t>EBIT</t>
  </si>
  <si>
    <t>Finance Costs</t>
  </si>
  <si>
    <t>Other Income</t>
  </si>
  <si>
    <t>Profit before share of Profit / (Loss) of Associate / Joint Ventures</t>
  </si>
  <si>
    <t>Share of Profit / (Loss) from Associate /Joint Ventures (net of tax)</t>
  </si>
  <si>
    <t>Profit before Exceptional Items and Tax</t>
  </si>
  <si>
    <t>Exceptional Items</t>
  </si>
  <si>
    <t>Profit before Tax</t>
  </si>
  <si>
    <t>Current Tax</t>
  </si>
  <si>
    <t>Adjustment of tax relating to earlier years</t>
  </si>
  <si>
    <t>Deferred Tax</t>
  </si>
  <si>
    <t>Net profit from continuing operations</t>
  </si>
  <si>
    <t>Profit before tax from discontinued operations</t>
  </si>
  <si>
    <t>Tax income / (expense) of discontinued operations</t>
  </si>
  <si>
    <t>Net profit from discontinuing operations</t>
  </si>
  <si>
    <t>Net Profit</t>
  </si>
  <si>
    <t>Net Profit attributable to:</t>
  </si>
  <si>
    <t>Owners of the company</t>
  </si>
  <si>
    <t>Non-Controlling Interest</t>
  </si>
  <si>
    <t>Balance Sheet</t>
  </si>
  <si>
    <t>ASSETS</t>
  </si>
  <si>
    <t>Non-current Assets</t>
  </si>
  <si>
    <t>Property, Plant and Equipment</t>
  </si>
  <si>
    <t>Right of Use Assets</t>
  </si>
  <si>
    <t>Capital work-in-progress</t>
  </si>
  <si>
    <t>Investment Property</t>
  </si>
  <si>
    <t>Goodwill</t>
  </si>
  <si>
    <t>Other Intangible Assets</t>
  </si>
  <si>
    <t>Intangible Assets under Development</t>
  </si>
  <si>
    <t>Investments accounted for using the equity method</t>
  </si>
  <si>
    <t>Financial assets</t>
  </si>
  <si>
    <t>a) Other Investments</t>
  </si>
  <si>
    <t>b) Other Financial Assets</t>
  </si>
  <si>
    <t>Deferred Tax Assets (Net)</t>
  </si>
  <si>
    <t>Income Tax Asset (Net)</t>
  </si>
  <si>
    <t>Other Non-Current Assets</t>
  </si>
  <si>
    <t>Total Non-current Assets</t>
  </si>
  <si>
    <t>Current assets</t>
  </si>
  <si>
    <t>Inventories</t>
  </si>
  <si>
    <t>a) Investments</t>
  </si>
  <si>
    <t>b) Trade receivables</t>
  </si>
  <si>
    <t>c) Cash and Cash Equivalents</t>
  </si>
  <si>
    <t>d) Bank Balances other than Cash and Cash Equivalents</t>
  </si>
  <si>
    <t>e) Loans</t>
  </si>
  <si>
    <t>f) Derivative Instruments</t>
  </si>
  <si>
    <t>g) Other Financial Assets</t>
  </si>
  <si>
    <t>Other Current Assets</t>
  </si>
  <si>
    <t>Total Current Assets</t>
  </si>
  <si>
    <t>Assets classified as held for sale and discontinued operations</t>
  </si>
  <si>
    <t>Total Assets</t>
  </si>
  <si>
    <t>EQUITY AND LIABILITIES</t>
  </si>
  <si>
    <t>Equity</t>
  </si>
  <si>
    <t>Equity Share Capital</t>
  </si>
  <si>
    <t>Other Equity</t>
  </si>
  <si>
    <t>Equity Attributable to the Owners of the Company</t>
  </si>
  <si>
    <t>Non-Controlling Interests</t>
  </si>
  <si>
    <t>Total Equity</t>
  </si>
  <si>
    <t>Non-current Liabilities</t>
  </si>
  <si>
    <t>Financial Liabilities</t>
  </si>
  <si>
    <t>a) Borrowings</t>
  </si>
  <si>
    <t>b) Lease Liabilities</t>
  </si>
  <si>
    <t>c) Other Financial Liabilities</t>
  </si>
  <si>
    <t>d) Derivative Instruments</t>
  </si>
  <si>
    <t>Other Non-Current Liabilities</t>
  </si>
  <si>
    <t>Provisions</t>
  </si>
  <si>
    <t>Government Grants</t>
  </si>
  <si>
    <t>Deferred Tax Liabilities (Net)</t>
  </si>
  <si>
    <t>Total Non-current Liabilities</t>
  </si>
  <si>
    <t>Current Liabilities</t>
  </si>
  <si>
    <t>Financial liabilities</t>
  </si>
  <si>
    <t>c) Trade payables</t>
  </si>
  <si>
    <t>Total outstanding dues of Micro Enterprises and Small Enterprises</t>
  </si>
  <si>
    <t>Total outstanding dues of Creditors other than Micro Enterprises
and Small Enterprises</t>
  </si>
  <si>
    <t>d) Other Financial Liabilities</t>
  </si>
  <si>
    <t>e) Derivative Instruments</t>
  </si>
  <si>
    <t>Other Current Liabilities</t>
  </si>
  <si>
    <t>Current Tax Liabilities (Net)</t>
  </si>
  <si>
    <t>Total Current Liabilities</t>
  </si>
  <si>
    <t>Total Equity and Liabilities</t>
  </si>
  <si>
    <t>Check</t>
  </si>
  <si>
    <t>Cash Flow Statement</t>
  </si>
  <si>
    <t>Cash Flow from Operating Activities</t>
  </si>
  <si>
    <t>Profit Before Tax</t>
  </si>
  <si>
    <t>Profit Before Tax on Continued Operations</t>
  </si>
  <si>
    <t>Profit / (Loss) Before Tax on Discontinued Operations</t>
  </si>
  <si>
    <t>Adjustments for:</t>
  </si>
  <si>
    <t>Exceptional Items (Net)</t>
  </si>
  <si>
    <t>Intangible assets written off</t>
  </si>
  <si>
    <t>Share Based Payment Expenses</t>
  </si>
  <si>
    <t>Loss / (Profit) on Property Plant and Equipment and ROU Assets sold/discarded, (Net)</t>
  </si>
  <si>
    <t>Loss/ (Profit) on Sale of Investments carried at FWPL (including unrealised fair value gain)</t>
  </si>
  <si>
    <t>Impairment allowance for receivables and advances (includes bad debts written off) (Net)</t>
  </si>
  <si>
    <t>Net unrealised Foreign Exchange differences including impact of Foreign Currency Translation</t>
  </si>
  <si>
    <t>Finance Income</t>
  </si>
  <si>
    <t>Liabilities/Provisions no longer payable written back</t>
  </si>
  <si>
    <t>Fair Value Gain on investment in Joint Venture</t>
  </si>
  <si>
    <t>Loss on Fair valuation of Compulsorily Convertible Preference Shares</t>
  </si>
  <si>
    <t>Reversal of liability relating to contingent consideration on business combination, no longer payable</t>
  </si>
  <si>
    <t>Bad debts written off / (reversal) (net)</t>
  </si>
  <si>
    <t>Dividend Income</t>
  </si>
  <si>
    <t>Share of (profit)/ loss from Associate and Joint Ventures</t>
  </si>
  <si>
    <t>Payment towards settlement of litigation</t>
  </si>
  <si>
    <t>Operating profit / (loss) before working capital changes</t>
  </si>
  <si>
    <t>Movements in working capital:</t>
  </si>
  <si>
    <t>(Decrease)/Increase in Provisions and Government Grants</t>
  </si>
  <si>
    <t>(Decrease)/Increase in Trade and Other Payables</t>
  </si>
  <si>
    <t>(Decrease)/Increase in Current and Non-Current Liabilities</t>
  </si>
  <si>
    <t>(Increase)/Decrease in Current and Non-Current Assets</t>
  </si>
  <si>
    <t>(Increase)/Decrease in Trade and Other Receivables</t>
  </si>
  <si>
    <t>(Increase)/Decrease in Inventories</t>
  </si>
  <si>
    <t>Working Capital Changes</t>
  </si>
  <si>
    <t>Cash generated from operations</t>
  </si>
  <si>
    <t>Income Tax Paid (Net of refunds)</t>
  </si>
  <si>
    <t>Non-Controlling Interest in (Profit)/Loss</t>
  </si>
  <si>
    <t>Net Cash Flow (used in)/ from discontinued operating activities</t>
  </si>
  <si>
    <t>Net Cash Flow from Operating Activities</t>
  </si>
  <si>
    <t>Cash Flow from Investing Activities</t>
  </si>
  <si>
    <t>Purchase of Property, Plant and Equipment, Intangible Assets and Leasehold Land (including Capital Work In Progress adjusted for Capital Advances and Capital Creditors)</t>
  </si>
  <si>
    <t>Proceeds from Sale of Property, Plant and Equipment</t>
  </si>
  <si>
    <t>(Purchase)/ Sale of Current investments (Net)</t>
  </si>
  <si>
    <t>Sale of Non Current investments</t>
  </si>
  <si>
    <t>Purchase of investment in Associate, Joint Ventures &amp; Consideration towards acquisition of Subsidiaries from existing Shareholders (net of cash acquired)</t>
  </si>
  <si>
    <t>Deposit in relation to bidding process for proposed acquisition</t>
  </si>
  <si>
    <t>Purchase of Non Current investments at FVTOCI</t>
  </si>
  <si>
    <t>Loan to erstwhile Joint Venture</t>
  </si>
  <si>
    <t>Proceeds/(investment) in deposits (Net) and other Bank balances</t>
  </si>
  <si>
    <t>Unrealised Exchange gain/(loss) on Consolidation (net)</t>
  </si>
  <si>
    <t>Interest income received</t>
  </si>
  <si>
    <t>Dividend Received</t>
  </si>
  <si>
    <t>Net cash flow (used in) /from discontinued investing activities</t>
  </si>
  <si>
    <t>Net Cash Flow (used in) Investing Activities</t>
  </si>
  <si>
    <t>Cash Flow from Financing Activities</t>
  </si>
  <si>
    <t>Proceeds from exercise of employee stock option</t>
  </si>
  <si>
    <t>Proceeds from issue of Shares on Preferential basis, net of expenses relating to the issue</t>
  </si>
  <si>
    <t>Proceeds from Long Term Borrowings</t>
  </si>
  <si>
    <t>(Repayment) of Long Term Borrowings</t>
  </si>
  <si>
    <t>(Repayment)/Proceeds from Short Term Borrowings (Net)</t>
  </si>
  <si>
    <t xml:space="preserve">Proceeds from issuance of compulsorily convertible preference shares </t>
  </si>
  <si>
    <t>Payment of Principal Portion of Lease Liabilities</t>
  </si>
  <si>
    <t>Payment towards Corporate Guarantee Settlement</t>
  </si>
  <si>
    <t>Payment towards settlement of litigation with Asset Reconstruction Company</t>
  </si>
  <si>
    <t>Finance Costs Paid</t>
  </si>
  <si>
    <t>Dividends Paid</t>
  </si>
  <si>
    <t>Payment towards purchase of non-controlling interest</t>
  </si>
  <si>
    <t>Changes in Non-controlling interest</t>
  </si>
  <si>
    <t>Amount infused by non-controlling shareholders in subsidiary</t>
  </si>
  <si>
    <t>Net cash flow (used in) / from discontinued financing activities</t>
  </si>
  <si>
    <t>Net Cash Flow (used in) Financing Activities</t>
  </si>
  <si>
    <t>Net Increase / (Decrease) in Cash and Cash Equivalents</t>
  </si>
  <si>
    <t>Cash and cash equivalents at the beginning of the year</t>
  </si>
  <si>
    <t>Addition on account of Business Combination</t>
  </si>
  <si>
    <t>Cash and cash equivalents at the end of the year</t>
  </si>
  <si>
    <t>Cash and Cash Equivalents as per Balance Sheet</t>
  </si>
  <si>
    <t>Cash Credit Facility</t>
  </si>
  <si>
    <t>Cash and Cash Equivalents from Discontinued Operations</t>
  </si>
  <si>
    <t>Total Cash and Cash Equivalents as per Statement of Cash Flow</t>
  </si>
  <si>
    <t>COMMON SIZE FINANCIAL STATEMENTS</t>
  </si>
  <si>
    <t>Profit &amp; Loss Statement - as a % of Total Revenue</t>
  </si>
  <si>
    <t>Balance Sheet - as a % of Total Assets</t>
  </si>
  <si>
    <t>Current Tax Assets</t>
  </si>
  <si>
    <t>Cash Flow Statement - as a % of Net Cash Flow from Operating Activities</t>
  </si>
  <si>
    <t>Loss/ (Profit) on Sale of Investments carried at FWPL {including unrealised fair value gain)</t>
  </si>
  <si>
    <t>(Repayment)/Proceeds from Short Term Eurowings (Net)</t>
  </si>
  <si>
    <t>2Q'26 Financial Performance (Consolidated):</t>
  </si>
  <si>
    <t>₹'cr unless stated otherwise</t>
  </si>
  <si>
    <t>Q2 FY26</t>
  </si>
  <si>
    <t>Q1 FY26</t>
  </si>
  <si>
    <t>Q-o-Q</t>
  </si>
  <si>
    <t>Q2 FY25</t>
  </si>
  <si>
    <t>Y-o-Y</t>
  </si>
  <si>
    <t>H1 FY26</t>
  </si>
  <si>
    <t>H1 FY25</t>
  </si>
  <si>
    <t>Gross Profit Margin</t>
  </si>
  <si>
    <t>EBITDA Margin</t>
  </si>
  <si>
    <t>PAT</t>
  </si>
  <si>
    <t>PAT Margin</t>
  </si>
  <si>
    <t xml:space="preserve">     Owners of the Company</t>
  </si>
  <si>
    <t xml:space="preserve">     Non-controlling interests</t>
  </si>
  <si>
    <t>EPS</t>
  </si>
  <si>
    <t>Segmental Data</t>
  </si>
  <si>
    <t>Ports and SEZ Activities</t>
  </si>
  <si>
    <t>Others</t>
  </si>
  <si>
    <t>Less: Inter-Segment Revenue</t>
  </si>
  <si>
    <t>Domestic Ports</t>
  </si>
  <si>
    <t>International Ports</t>
  </si>
  <si>
    <t>Logistics</t>
  </si>
  <si>
    <t>Marine</t>
  </si>
  <si>
    <t>Port development &amp; SEZ</t>
  </si>
  <si>
    <t>Projected Financials --&gt;&gt;</t>
  </si>
  <si>
    <t>CONSOLIDATED - PROJECTED FINANCIAL STATEMENTS</t>
  </si>
  <si>
    <t>FY26E</t>
  </si>
  <si>
    <t>FY27E</t>
  </si>
  <si>
    <t>Revenue Growth YoY</t>
  </si>
  <si>
    <t>Tax</t>
  </si>
  <si>
    <t>Tax Burden</t>
  </si>
  <si>
    <t>Net Profit Margin</t>
  </si>
  <si>
    <t>FINANCIAL RATIOS</t>
  </si>
  <si>
    <t>Key Ratios</t>
  </si>
  <si>
    <t>Revenue Growth</t>
  </si>
  <si>
    <t>Gross Profit Growth</t>
  </si>
  <si>
    <t>EBITDA Growth</t>
  </si>
  <si>
    <t>Net Profit Growth</t>
  </si>
  <si>
    <t>RoCE</t>
  </si>
  <si>
    <t>RoE</t>
  </si>
  <si>
    <t>Dividend Payout Ratio</t>
  </si>
  <si>
    <t>EPS (₹)</t>
  </si>
  <si>
    <t>Gross Fixed Asset Turnover (x)</t>
  </si>
  <si>
    <t>Net Working Capital Days</t>
  </si>
  <si>
    <t>Debtor Days</t>
  </si>
  <si>
    <t>Inventory Days</t>
  </si>
  <si>
    <t>Payable Days</t>
  </si>
  <si>
    <t>Net Debt to Equity (x)</t>
  </si>
  <si>
    <t>Interest Coverage (x)</t>
  </si>
  <si>
    <t>CFO / EBITDA</t>
  </si>
  <si>
    <t>CONSOLIDATED - SUMMARY PROJECTED FINANCIAL STATEMENTS</t>
  </si>
  <si>
    <t>Cost of Goods Sold</t>
  </si>
  <si>
    <t>Investments</t>
  </si>
  <si>
    <t>Trade receivables</t>
  </si>
  <si>
    <t>Cash and Cash Equivalents</t>
  </si>
  <si>
    <t>Bank Balances other than Cash and Cash Equivalents</t>
  </si>
  <si>
    <t>Borrowings</t>
  </si>
  <si>
    <t>Lease Liabilities</t>
  </si>
  <si>
    <t>Other Financial Liabilities</t>
  </si>
  <si>
    <t>Trade payables</t>
  </si>
  <si>
    <t>SCENARIOS</t>
  </si>
  <si>
    <t>SCENARIO SWITCH:</t>
  </si>
  <si>
    <t>REVENUE SCHEDULE</t>
  </si>
  <si>
    <t>Total Consolidated Revenue</t>
  </si>
  <si>
    <t>YoY growth rate</t>
  </si>
  <si>
    <t>Total Standalone Revenue</t>
  </si>
  <si>
    <t>Base Case</t>
  </si>
  <si>
    <t>Bull Case</t>
  </si>
  <si>
    <t>Bear Case</t>
  </si>
  <si>
    <t>Ports</t>
  </si>
  <si>
    <t>Growth Rate</t>
  </si>
  <si>
    <t>Subsidiaries</t>
  </si>
  <si>
    <t>Shanthi Gears</t>
  </si>
  <si>
    <t>Electric Vehicles</t>
  </si>
  <si>
    <t>Medical</t>
  </si>
  <si>
    <t>COST OF GOODS SOLD</t>
  </si>
  <si>
    <t>Considered all inclusive within operating expenses</t>
  </si>
  <si>
    <t>Values</t>
  </si>
  <si>
    <t>Purchases of stock-in-trade</t>
  </si>
  <si>
    <t>Changes in inventories of finished goods, stock-in-trade, and work-in-progress</t>
  </si>
  <si>
    <t>P&amp;L OTHER LINE ITEMS</t>
  </si>
  <si>
    <t>Employee benefit expenses</t>
  </si>
  <si>
    <t>Depreciation &amp; Amortisation</t>
  </si>
  <si>
    <t>PP&amp;E</t>
  </si>
  <si>
    <t>Intangible Assets</t>
  </si>
  <si>
    <t>RoU Assets</t>
  </si>
  <si>
    <t>Tax Rate</t>
  </si>
  <si>
    <t>Statutory Tax Rate</t>
  </si>
  <si>
    <t>Profit Attributable to:</t>
  </si>
  <si>
    <t>NON CURRENT ASSETS LINE ITEMS</t>
  </si>
  <si>
    <t>Investments acc. using eq. method</t>
  </si>
  <si>
    <t>Other Investments</t>
  </si>
  <si>
    <t>Other Financial Assets</t>
  </si>
  <si>
    <t>CURRENT ASSETS LINE ITEMS</t>
  </si>
  <si>
    <t>Loans</t>
  </si>
  <si>
    <t>Derivative Instruments</t>
  </si>
  <si>
    <t>NON CURRENT LIABILITIES LINE ITEMS</t>
  </si>
  <si>
    <t>CURRENT LIABILITIES LINE ITEMS</t>
  </si>
  <si>
    <t xml:space="preserve"> </t>
  </si>
  <si>
    <t>WORKING CAPITAL LINE ITEMS</t>
  </si>
  <si>
    <t>Receivable Days</t>
  </si>
  <si>
    <t>CASH FLOW FROM OPERATIONS</t>
  </si>
  <si>
    <t>Loss/ (Profit) on Sale of Investments carried at FWPL</t>
  </si>
  <si>
    <t>Impairment allowance for receivables and advances</t>
  </si>
  <si>
    <t>CASH FLOW FROM INVESTING</t>
  </si>
  <si>
    <t xml:space="preserve">Purchase of investment in Associate, JV &amp; Consideration towards acquisition of Subsidiaries </t>
  </si>
  <si>
    <t>CASH FLOW FROM FINANCING</t>
  </si>
  <si>
    <t>Dividend Paid</t>
  </si>
  <si>
    <t>VALUATION - STANDALONE P/E</t>
  </si>
  <si>
    <t>Standalone P/E</t>
  </si>
  <si>
    <t>PRICE MULTIPLES LINE ITEMS</t>
  </si>
  <si>
    <t>Share Price</t>
  </si>
  <si>
    <t>Equity Shares</t>
  </si>
  <si>
    <t>Dividend Paid (in cr.)</t>
  </si>
  <si>
    <t>Book Value Per Share</t>
  </si>
  <si>
    <t>Earnings Per Share</t>
  </si>
  <si>
    <t>Dividend Per Share</t>
  </si>
  <si>
    <t>Market Cap</t>
  </si>
  <si>
    <t>Debt</t>
  </si>
  <si>
    <t>Cash &amp; Bank Balances</t>
  </si>
  <si>
    <t>Enterprise Value</t>
  </si>
  <si>
    <t>SCHEDULES</t>
  </si>
  <si>
    <t>Debt Schedule</t>
  </si>
  <si>
    <t>Short Term Debt</t>
  </si>
  <si>
    <t>Long Term Debt</t>
  </si>
  <si>
    <t>Interest Expense</t>
  </si>
  <si>
    <t>Interest Rate</t>
  </si>
  <si>
    <t>Depreciation Schedule</t>
  </si>
  <si>
    <t>PPE+RoU Assets+Investment Properties+Other Intangible Assets</t>
  </si>
  <si>
    <t>Depreciation</t>
  </si>
  <si>
    <t>Capex</t>
  </si>
  <si>
    <t>CWIP</t>
  </si>
  <si>
    <t>Depreciation Rate</t>
  </si>
  <si>
    <t>Other Data --&gt;&gt;</t>
  </si>
  <si>
    <t>CONSOLIDATED - GRAPHS</t>
  </si>
  <si>
    <t>Revenue</t>
  </si>
  <si>
    <t>Free Cash Flow</t>
  </si>
  <si>
    <t>Turnover Ratios</t>
  </si>
  <si>
    <t>Gross Fixed Assets</t>
  </si>
  <si>
    <t>GFAT</t>
  </si>
  <si>
    <t>ITR</t>
  </si>
  <si>
    <t>RTR</t>
  </si>
  <si>
    <t>Profit Margin Ratios</t>
  </si>
  <si>
    <t>Trade Receivables</t>
  </si>
  <si>
    <t>DSO</t>
  </si>
  <si>
    <t>Trade Payables</t>
  </si>
  <si>
    <t>DPO</t>
  </si>
  <si>
    <t>DOH</t>
  </si>
  <si>
    <t>Return Ratios</t>
  </si>
  <si>
    <t>Debt to Equity (x)</t>
  </si>
  <si>
    <t>Net Debt to EBITDA (x)</t>
  </si>
  <si>
    <t>Valuation Ratios</t>
  </si>
  <si>
    <t>P/E (x)</t>
  </si>
  <si>
    <t>P/B (x)</t>
  </si>
  <si>
    <t>Enterprise Ratios</t>
  </si>
  <si>
    <t>EV/EBITDA (x)</t>
  </si>
  <si>
    <t>EV/Sales (x)</t>
  </si>
  <si>
    <t>Dividend Ratios</t>
  </si>
  <si>
    <t>Dividend Payout</t>
  </si>
  <si>
    <t>Dividend Yield</t>
  </si>
  <si>
    <t>Peer Comparison</t>
  </si>
  <si>
    <t>Particulars</t>
  </si>
  <si>
    <t>Adani Ports and SEZ</t>
  </si>
  <si>
    <t>JSW Infrastructure</t>
  </si>
  <si>
    <t>DP World</t>
  </si>
  <si>
    <t>Operational Metrics</t>
  </si>
  <si>
    <t>Operational Port Capacity</t>
  </si>
  <si>
    <t>784 MMT</t>
  </si>
  <si>
    <t>177 MMT</t>
  </si>
  <si>
    <t>Over 102 million TEUs (~1,120 MMT)</t>
  </si>
  <si>
    <t>Revenue by Segment
(H1FY26 and H1 2025 for DP World))</t>
  </si>
  <si>
    <t>Domestic Ports: 68.3% | International Ports: 11.2% | Logistics: 12.2% | Marine: 6.5% | Port Development &amp; SEZ: 1.6%</t>
  </si>
  <si>
    <t>Ports: 52.4% | Logistics: 16.1%</t>
  </si>
  <si>
    <t>Ports and Terminals: 38.8% | Logistics, Parks and Economic Zones: 41.9% | Marine Services: 19.3%</t>
  </si>
  <si>
    <t>EBITDA Margins by Segment</t>
  </si>
  <si>
    <t>Domestic Ports: 74.2% | International Ports: 22.7% | Logistics: 19.4% | Marine: 52.7% | Port Development &amp; SEZ: 100%</t>
  </si>
  <si>
    <t>Ports: % | Logistics: 12.1%</t>
  </si>
  <si>
    <t>Ports and Terminals: 51.7% | Logistics, Parks and Economic Zones: 13.6% | Marine Services: 23.1%</t>
  </si>
  <si>
    <t>Capex Guidance</t>
  </si>
  <si>
    <t>65,000-75,000 Cr from FY25-FY29</t>
  </si>
  <si>
    <t>9,000 Cr from FY25-FY30</t>
  </si>
  <si>
    <t>22,000 Cr capital expenditure for 2025, of which 9,600 Cr was invested in H1FY25</t>
  </si>
  <si>
    <t>Financial Metrics</t>
  </si>
  <si>
    <t>FY23</t>
  </si>
  <si>
    <t>FY24</t>
  </si>
  <si>
    <t>FY25</t>
  </si>
  <si>
    <t>Revenue (₹'cr)</t>
  </si>
  <si>
    <t>Gross Profit (₹'cr)</t>
  </si>
  <si>
    <t>EBITDA (₹'cr)</t>
  </si>
  <si>
    <t>Net Profit (₹'cr)</t>
  </si>
  <si>
    <t>Ratios</t>
  </si>
  <si>
    <t>Total Debt (₹'cr)</t>
  </si>
  <si>
    <t>Total Equity (₹'cr)</t>
  </si>
  <si>
    <t>Cash &amp; Cash Equi. (₹'cr)</t>
  </si>
  <si>
    <t>3-year Cumulative FCFF (₹'cr)</t>
  </si>
  <si>
    <t>Valuation Metrics</t>
  </si>
  <si>
    <t>H1FY25 P/E (x)</t>
  </si>
  <si>
    <t>HFY25 P/B (x)</t>
  </si>
  <si>
    <t>H1FY25 EV/EBIDTA (x)</t>
  </si>
  <si>
    <t>H1FY25 EV/Sales (x)</t>
  </si>
  <si>
    <t>H1FY25 Market Cap (₹'cr)</t>
  </si>
  <si>
    <t>n.a.</t>
  </si>
  <si>
    <t>Holdings</t>
  </si>
  <si>
    <t>Mar'23</t>
  </si>
  <si>
    <t>Mar'24</t>
  </si>
  <si>
    <t>Mar'25</t>
  </si>
  <si>
    <t>Promoters</t>
  </si>
  <si>
    <t>Shares Pledged</t>
  </si>
  <si>
    <t>FIIs</t>
  </si>
  <si>
    <t>Revenue by Segment
(H1FY26 and H1 2025 for DP World)</t>
  </si>
  <si>
    <t>SHAREHOLDING PATTERN</t>
  </si>
  <si>
    <t>FY21</t>
  </si>
  <si>
    <t>FY22</t>
  </si>
  <si>
    <t>Jun'25</t>
  </si>
  <si>
    <t>Gautambhai Shantilal Adani &amp; Rajeshbhai Shantilal Adani (on behalf of S.B. Adani Family Trust)</t>
  </si>
  <si>
    <t>Adani Tradeline Private Limited</t>
  </si>
  <si>
    <t>Flourishing Trade and Investment Ltd</t>
  </si>
  <si>
    <t>Emerging Market Investment DMCC</t>
  </si>
  <si>
    <t>Adani Tradeline Llp</t>
  </si>
  <si>
    <t>Afro Asia Trade And Investments Limited</t>
  </si>
  <si>
    <t>Worldwide Emerging Market Holding Limited</t>
  </si>
  <si>
    <t>Adani Rail Infra Private Limited</t>
  </si>
  <si>
    <t>Resurgent Trade And Investment Ltd</t>
  </si>
  <si>
    <t>Spitze Trade And Investment Limited</t>
  </si>
  <si>
    <t>Adani Properties Private Limiteed</t>
  </si>
  <si>
    <t>Other Promoters</t>
  </si>
  <si>
    <t>Goldman Sachs Trust Ii - Goldman Sachs Gqg Partners International Opportunities Fund</t>
  </si>
  <si>
    <t>Gqg Partners Emerging Markets Equity Fund</t>
  </si>
  <si>
    <t>Camas Investments Pte. Ltd.</t>
  </si>
  <si>
    <t>DIIs</t>
  </si>
  <si>
    <t>Life Insurance Corporation of India</t>
  </si>
  <si>
    <t>Sbi Nifty 50 Etf</t>
  </si>
  <si>
    <t>Government</t>
  </si>
  <si>
    <t>Public</t>
  </si>
  <si>
    <t>Dandu Corporate Services Private Limited</t>
  </si>
  <si>
    <t>Total</t>
  </si>
  <si>
    <t>Contingent Liabilities (₹'cr)</t>
  </si>
  <si>
    <t>a)     Certain  facilities  availed  by  the   joint  venture  entities  against credit facilities sanctioned to the company.</t>
  </si>
  <si>
    <t>b)     Bank Guarantees given to government authorities and banks.</t>
  </si>
  <si>
    <t>c)     Show cause notices received from the Custom Authorities against duty on  port related cargo. The Company has given deposit of ₹0.05 crore (previous year ₹0.05 crore) against the demand. The management is reasonably confident that no liability will devolve on the Company and hence no liability has been recognised in the books of accounts.</t>
  </si>
  <si>
    <t>d)     Various   show   cause   notices   received   from   Commissioner/ Additional     Commissioner/     Joint     Commissioner/     Deputy Commissioner   of   Customs   and   Central   Excise,   Rajkot   and Commissioner of Service Tax, Ahmedabad and appeal there of, for  wrongly  availing  of  Cenvat  credit/  Service  tax  credit  and Education Cess credit on input services and steel, cement and other fixed assets during financial year 2006-07 to 2016-17. In similar matter, the Excise department has demanded recovery of the duty along with penalty and interest thereon. The Company has given deposit of  ₹4.50 crore (previous Year ₹4.50 crore) against  the  demand.  These  matters  are  pending  before  the Supreme  Court,  the  High  Court  of  Gujarat,  Commissioner  of Central  Excise  (Appeals),  Rajkot  and  Commissioner  of  Service Tax, Ahmedabad. The Company has taken an external opinion in the matter based on which the management is of the view that no liability shall arise on the Company. Further, during the earlier year,  the  Company  has  received  favourable  order  from  High Court of Gujarat against demand in respect of dispute relating to  financial  year  2005-06  and  favourable  order  from  CESTAT against similar demand in respect of dispute relating to FY 2005- 06 to FY 2010 -11 (up to Sept 2011).</t>
  </si>
  <si>
    <t>e)     Show  cause  notices  received  from  Commissioner  of  Customs and Central Excise, Rajkot and appeal thereof in respect of levy of  service  tax  on  various  services  provided  by  the  Company and wrong availment of CENVAT credit by the Company during financial year 2009-10 to 2011-12. These matters are currently pending  at  High  Court  of  Gujarat  ₹6.72  crore  (previous  Year ₹6.72  crore)  and  Customs,  Excise  and  Service  Tax  Appellate Tribunal, Ahmedabad ₹0.15 crore (previous Year ₹0.15 crore) and Commissioner of Service Tax Ahmedabad ₹0.03 crore (previous Year ₹0.03 crore). The Company has taken an external opinion in the matter based on which the management is of the view that no liability shall arise on the Company.</t>
  </si>
  <si>
    <t>f)      In  terms  of  the  Show  Cause    Notice  issued  to  a  subsidiary company  by  the  Office  of  the  Commissioner  of  Customs  for  a demand  of  `  18.33  crore  along  with  applicable  interest  and penalty  thereon  for  the  differential  amount  of  Customs  Duty in  respect  of  import  of  Bombardier  Challenger  CL-600   under Non-Scheduled Operation Permit (NSOP) has been raised on the subsidiary  company.  The  management  is  reasonably  confident that no liability will devolve and the same has been considered as remote liability.</t>
  </si>
  <si>
    <t>-</t>
  </si>
  <si>
    <t>g)     In  terms  of  the  Show  Cause  cum  Demand  Notice  issued  to subsidiary   company   by   the   Office   of   the   Commissioner   of Customs Preventive Section dated 27/02/2009, a demand of ₹14.67 crore along with applicable interest and penalty thereon for the differential amount of Customs Duty in respect of import of Aircraft Hawker 850 XP under Non-Scheduled Operation Permit (NSOP)  has  been  raised  on  the  subsidiary  company.  Currently the matter is pending with Gujarat High Court for hearing. The management is reasonably confident that no liability will devolve and the same has been considered as remote liability.</t>
  </si>
  <si>
    <t>h)     Various  matters  pending  relating  to  Service  Tax,  Customs  and Goods and Service Tax (including Cess). The management is of the view that no liability shall arise on the subsidiaries companies.</t>
  </si>
  <si>
    <t>i)      Various  matters  of  subsidiary  companies  pending  with  Income Tax Authorities.</t>
  </si>
  <si>
    <t>j)      (i)     Claims not acknowledged as debts by Indian Subsidiaries :-</t>
  </si>
  <si>
    <t>-       Other claims</t>
  </si>
  <si>
    <t>(ii)    Claims not acknowledged as debts by Foreign Subsidiaries :-</t>
  </si>
  <si>
    <t>-       Claims pertaining to cargo damage, third party
damage, longshoreman damage and other accidents</t>
  </si>
  <si>
    <t>-       Liabilities against lawsuits, monetary claims and tax</t>
  </si>
  <si>
    <t>-       Various Guarantees</t>
  </si>
  <si>
    <t>k)     The Company’s tax assessments is completed till Assessment year 2022-23, Appeals are pending with High Court/Supreme Court for Assessment Year 2008-09 to AY 2016-17, with CIT for AY 2017-18 to AY 2021-22. Company has received favourable orders on most of the matters for AY 2008-09 to AY 2021-22 from CIT(A)/ITAT/High Court, hence the management is reasonably confident that no liability will devolve on the Company. Company has considered it as remote liability.</t>
  </si>
  <si>
    <t>l)      Matters of acquired subsidiaries for which indemnity is available from previous owner/seller :-</t>
  </si>
  <si>
    <t>(i)     Matters pending with Central Warehousing Corporation</t>
  </si>
  <si>
    <t>(ii)    Matters pending with Income Tax, Service Tax and Various other authorities</t>
  </si>
  <si>
    <t>m)    During  the  financial  year  2020-21,  the  group  has  received  notice  from  one  of  the  port  trust  authority, relating to royalty on deemed storage income for ₹41.40 crore. The Group has applied for extending the relief of rationalised tariff retrospectively, available under guidelines issued by Ministry of Shipping dated July 11, 2018.  The Group has paid an amount of ₹18.67 crore and provided the same in books on prudent basis and doesn’t anticipate any further outflow.</t>
  </si>
  <si>
    <t>% of Equity</t>
  </si>
  <si>
    <t>DIVIDEND POLICY</t>
  </si>
  <si>
    <t>Dividend payout ratio (%)</t>
  </si>
  <si>
    <t>Dividend per share (₹)</t>
  </si>
  <si>
    <t>Dividend yield (%)</t>
  </si>
  <si>
    <t>Credit Rating</t>
  </si>
  <si>
    <t>Jul'25</t>
  </si>
  <si>
    <t>ICRA AAA/Stable / A1+</t>
  </si>
  <si>
    <t>Care AAA/Stable / A1+</t>
  </si>
  <si>
    <t>April'25</t>
  </si>
  <si>
    <t>CRISIL AAA/Stable / A1+</t>
  </si>
  <si>
    <t>Sep'24</t>
  </si>
  <si>
    <t>April'24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</si>
</sst>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quot;-&quot;"/>
    <numFmt numFmtId="165" formatCode="#,##0.00;\(#,##0.00\);&quot;-&quot;"/>
    <numFmt numFmtId="166" formatCode="0.0%"/>
    <numFmt numFmtId="167" formatCode="0.000"/>
    <numFmt numFmtId="168" formatCode="#,##0.00000;\(#,##0.00000\);&quot;-&quot;"/>
    <numFmt numFmtId="169" formatCode="#,##0.000;\(#,##0.000\);&quot;-&quot;"/>
    <numFmt numFmtId="170" formatCode="0.0"/>
    <numFmt numFmtId="171" formatCode="#,##0.0;\(#,##0.0\);&quot;-&quot;"/>
    <numFmt numFmtId="172" formatCode="#,##0.0;\-#,##0.0"/>
    <numFmt numFmtId="173" formatCode="_(* #,##0_);_(* \(#,##0\);_(* &quot;-&quot;??_);_(@_)"/>
  </numFmts>
  <fonts count="55">
    <font>
      <sz val="11"/>
      <color theme="1"/>
      <name val="Aptos Narrow"/>
      <family val="2"/>
      <scheme val="minor"/>
    </font>
    <font>
      <sz val="11"/>
      <color theme="1"/>
      <name val="Calibri"/>
    </font>
    <font>
      <sz val="11"/>
      <color theme="1"/>
      <name val="Aptos Narrow"/>
      <family val="2"/>
      <scheme val="minor"/>
    </font>
    <font>
      <b/>
      <sz val="14"/>
      <color theme="0"/>
      <name val="Calibri"/>
    </font>
    <font>
      <b/>
      <i/>
      <sz val="11"/>
      <color theme="0"/>
      <name val="Calibri"/>
    </font>
    <font>
      <b/>
      <sz val="11"/>
      <color theme="0"/>
      <name val="Calibri"/>
    </font>
    <font>
      <b/>
      <sz val="11"/>
      <color theme="1"/>
      <name val="Calibri"/>
    </font>
    <font>
      <sz val="11"/>
      <color theme="8" tint="-0.499984740745262"/>
      <name val="Calibri"/>
    </font>
    <font>
      <sz val="11"/>
      <name val="Calibri"/>
    </font>
    <font>
      <b/>
      <sz val="11"/>
      <color theme="8" tint="-0.499984740745262"/>
      <name val="Calibri"/>
    </font>
    <font>
      <b/>
      <sz val="11"/>
      <color rgb="FF002060"/>
      <name val="Calibri"/>
    </font>
    <font>
      <i/>
      <sz val="11"/>
      <color theme="1"/>
      <name val="Calibri"/>
    </font>
    <font>
      <sz val="11"/>
      <color theme="0"/>
      <name val="Calibri"/>
    </font>
    <font>
      <b/>
      <sz val="11"/>
      <name val="Calibri"/>
    </font>
    <font>
      <b/>
      <sz val="14"/>
      <color theme="0"/>
      <name val="Calibri"/>
      <family val="2"/>
    </font>
    <font>
      <b/>
      <sz val="11"/>
      <color theme="0"/>
      <name val="Calibri"/>
      <family val="2"/>
    </font>
    <font>
      <b/>
      <sz val="11"/>
      <color theme="1"/>
      <name val="Calibri"/>
      <family val="2"/>
    </font>
    <font>
      <sz val="11"/>
      <name val="Calibri"/>
      <family val="2"/>
    </font>
    <font>
      <b/>
      <sz val="11"/>
      <name val="Calibri"/>
      <family val="2"/>
    </font>
    <font>
      <b/>
      <sz val="11"/>
      <color theme="8" tint="-0.499984740745262"/>
      <name val="Calibri"/>
      <family val="2"/>
    </font>
    <font>
      <i/>
      <sz val="11"/>
      <color theme="1"/>
      <name val="Calibri"/>
      <family val="2"/>
    </font>
    <font>
      <b/>
      <i/>
      <sz val="11"/>
      <color theme="0"/>
      <name val="Calibri"/>
      <family val="2"/>
    </font>
    <font>
      <sz val="11"/>
      <color theme="8" tint="-0.499984740745262"/>
      <name val="Calibri"/>
      <family val="2"/>
    </font>
    <font>
      <sz val="11"/>
      <color rgb="FF1F4E78"/>
      <name val="Calibri"/>
    </font>
    <font>
      <b/>
      <sz val="11"/>
      <color rgb="FF1F4E78"/>
      <name val="Calibri"/>
    </font>
    <font>
      <b/>
      <sz val="30"/>
      <color rgb="FF1F4E78"/>
      <name val="Calibri"/>
      <family val="2"/>
    </font>
    <font>
      <b/>
      <sz val="11"/>
      <color rgb="FF1F4E78"/>
      <name val="Calibri"/>
      <family val="2"/>
    </font>
    <font>
      <sz val="11"/>
      <color theme="1"/>
      <name val="Calibri"/>
      <family val="2"/>
    </font>
    <font>
      <b/>
      <sz val="15"/>
      <color theme="1"/>
      <name val="Calibri"/>
      <family val="2"/>
    </font>
    <font>
      <b/>
      <u/>
      <sz val="11"/>
      <color theme="1"/>
      <name val="Calibri"/>
      <family val="2"/>
    </font>
    <font>
      <b/>
      <sz val="11"/>
      <color rgb="FF00B0F0"/>
      <name val="Calibri"/>
      <family val="2"/>
    </font>
    <font>
      <b/>
      <i/>
      <u/>
      <sz val="11"/>
      <color theme="1"/>
      <name val="Calibri"/>
      <family val="2"/>
    </font>
    <font>
      <b/>
      <sz val="9"/>
      <color indexed="81"/>
      <name val="Tahoma"/>
      <family val="2"/>
    </font>
    <font>
      <sz val="9"/>
      <color indexed="81"/>
      <name val="Tahoma"/>
      <family val="2"/>
    </font>
    <font>
      <b/>
      <i/>
      <u/>
      <sz val="13"/>
      <color rgb="FF1F4E78"/>
      <name val="Calibri"/>
      <family val="2"/>
    </font>
    <font>
      <b/>
      <i/>
      <u/>
      <sz val="15"/>
      <color rgb="FF1F4E78"/>
      <name val="Calibri"/>
      <family val="2"/>
    </font>
    <font>
      <b/>
      <i/>
      <sz val="11"/>
      <name val="Calibri"/>
    </font>
    <font>
      <sz val="11"/>
      <color rgb="FF1F4E78"/>
      <name val="Calibri"/>
      <family val="2"/>
    </font>
    <font>
      <sz val="11"/>
      <color theme="1"/>
      <name val="Calibri"/>
      <family val="2"/>
      <scheme val="minor"/>
    </font>
    <font>
      <b/>
      <sz val="16"/>
      <color theme="1"/>
      <name val="Calibri"/>
      <family val="2"/>
      <scheme val="minor"/>
    </font>
    <font>
      <b/>
      <sz val="10"/>
      <color theme="0"/>
      <name val="Arial"/>
      <family val="2"/>
    </font>
    <font>
      <b/>
      <i/>
      <sz val="10"/>
      <color theme="0"/>
      <name val="Arial"/>
      <family val="2"/>
    </font>
    <font>
      <sz val="10"/>
      <color theme="1"/>
      <name val="Arial"/>
      <family val="2"/>
    </font>
    <font>
      <b/>
      <sz val="10"/>
      <color theme="1"/>
      <name val="Arial"/>
      <family val="2"/>
    </font>
    <font>
      <i/>
      <sz val="10"/>
      <color theme="0" tint="-0.499984740745262"/>
      <name val="Arial"/>
      <family val="2"/>
    </font>
    <font>
      <b/>
      <i/>
      <sz val="10"/>
      <color rgb="FF4D4D4D"/>
      <name val="Arial"/>
      <family val="2"/>
    </font>
    <font>
      <b/>
      <sz val="10"/>
      <color rgb="FF4D4D4D"/>
      <name val="Arial"/>
      <family val="2"/>
    </font>
    <font>
      <b/>
      <i/>
      <sz val="10"/>
      <color rgb="FFEE0000"/>
      <name val="Arial"/>
      <family val="2"/>
    </font>
    <font>
      <b/>
      <i/>
      <sz val="10"/>
      <color theme="1"/>
      <name val="Arial"/>
      <family val="2"/>
    </font>
    <font>
      <b/>
      <i/>
      <sz val="11"/>
      <color theme="1"/>
      <name val="Calibri"/>
      <family val="2"/>
      <scheme val="minor"/>
    </font>
    <font>
      <b/>
      <sz val="16"/>
      <color theme="1"/>
      <name val="Calibri"/>
      <family val="2"/>
    </font>
    <font>
      <b/>
      <sz val="16"/>
      <color rgb="FF1F4E78"/>
      <name val="Calibri"/>
    </font>
    <font>
      <b/>
      <i/>
      <sz val="12"/>
      <color theme="0"/>
      <name val="Calibri"/>
    </font>
    <font>
      <sz val="11"/>
      <color rgb="FF000000"/>
      <name val="Calibri"/>
      <charset val="1"/>
    </font>
    <font>
      <sz val="11"/>
      <color theme="0"/>
      <name val="Calibri"/>
      <family val="2"/>
    </font>
  </fonts>
  <fills count="7">
    <fill>
      <patternFill patternType="none"/>
    </fill>
    <fill>
      <patternFill patternType="gray125"/>
    </fill>
    <fill>
      <patternFill patternType="solid">
        <fgColor theme="2" tint="-9.9978637043366805E-2"/>
        <bgColor indexed="64"/>
      </patternFill>
    </fill>
    <fill>
      <patternFill patternType="solid">
        <fgColor rgb="FF1F4E78"/>
        <bgColor indexed="64"/>
      </patternFill>
    </fill>
    <fill>
      <patternFill patternType="solid">
        <fgColor rgb="FFDDEBF7"/>
        <bgColor indexed="64"/>
      </patternFill>
    </fill>
    <fill>
      <patternFill patternType="solid">
        <fgColor rgb="FF638BDB"/>
        <bgColor indexed="64"/>
      </patternFill>
    </fill>
    <fill>
      <patternFill patternType="solid">
        <fgColor rgb="FFC7DAFF"/>
        <bgColor indexed="64"/>
      </patternFill>
    </fill>
  </fills>
  <borders count="110">
    <border>
      <left/>
      <right/>
      <top/>
      <bottom/>
      <diagonal/>
    </border>
    <border>
      <left/>
      <right/>
      <top style="thin">
        <color indexed="64"/>
      </top>
      <bottom/>
      <diagonal/>
    </border>
    <border>
      <left/>
      <right/>
      <top style="thin">
        <color indexed="64"/>
      </top>
      <bottom style="thin">
        <color indexed="64"/>
      </bottom>
      <diagonal/>
    </border>
    <border>
      <left/>
      <right/>
      <top style="thin">
        <color indexed="64"/>
      </top>
      <bottom style="double">
        <color indexed="64"/>
      </bottom>
      <diagonal/>
    </border>
    <border>
      <left style="medium">
        <color indexed="64"/>
      </left>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medium">
        <color theme="1"/>
      </left>
      <right style="medium">
        <color theme="1"/>
      </right>
      <top style="medium">
        <color theme="1"/>
      </top>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style="medium">
        <color theme="1"/>
      </top>
      <bottom/>
      <diagonal/>
    </border>
    <border>
      <left style="medium">
        <color theme="1"/>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style="medium">
        <color indexed="64"/>
      </top>
      <bottom style="medium">
        <color indexed="64"/>
      </bottom>
      <diagonal/>
    </border>
    <border>
      <left/>
      <right/>
      <top style="medium">
        <color indexed="64"/>
      </top>
      <bottom style="medium">
        <color indexed="64"/>
      </bottom>
      <diagonal/>
    </border>
    <border>
      <left/>
      <right style="medium">
        <color theme="1"/>
      </right>
      <top style="medium">
        <color indexed="64"/>
      </top>
      <bottom style="medium">
        <color indexed="64"/>
      </bottom>
      <diagonal/>
    </border>
    <border>
      <left style="medium">
        <color theme="1"/>
      </left>
      <right/>
      <top/>
      <bottom style="medium">
        <color theme="1"/>
      </bottom>
      <diagonal/>
    </border>
    <border>
      <left style="medium">
        <color theme="1"/>
      </left>
      <right/>
      <top/>
      <bottom style="thin">
        <color theme="1"/>
      </bottom>
      <diagonal/>
    </border>
    <border>
      <left/>
      <right/>
      <top/>
      <bottom style="thin">
        <color theme="1"/>
      </bottom>
      <diagonal/>
    </border>
    <border>
      <left/>
      <right style="medium">
        <color theme="1"/>
      </right>
      <top/>
      <bottom style="thin">
        <color theme="1"/>
      </bottom>
      <diagonal/>
    </border>
    <border>
      <left style="medium">
        <color theme="1"/>
      </left>
      <right/>
      <top style="thin">
        <color theme="1"/>
      </top>
      <bottom style="thin">
        <color theme="1"/>
      </bottom>
      <diagonal/>
    </border>
    <border>
      <left/>
      <right style="medium">
        <color theme="1"/>
      </right>
      <top style="thin">
        <color theme="1"/>
      </top>
      <bottom style="thin">
        <color theme="1"/>
      </bottom>
      <diagonal/>
    </border>
    <border>
      <left style="medium">
        <color theme="1"/>
      </left>
      <right/>
      <top style="thin">
        <color theme="1"/>
      </top>
      <bottom style="medium">
        <color theme="1"/>
      </bottom>
      <diagonal/>
    </border>
    <border>
      <left/>
      <right/>
      <top style="thin">
        <color indexed="64"/>
      </top>
      <bottom style="medium">
        <color theme="1"/>
      </bottom>
      <diagonal/>
    </border>
    <border>
      <left/>
      <right style="medium">
        <color theme="1"/>
      </right>
      <top style="thin">
        <color theme="1"/>
      </top>
      <bottom style="medium">
        <color theme="1"/>
      </bottom>
      <diagonal/>
    </border>
    <border>
      <left style="medium">
        <color indexed="64"/>
      </left>
      <right/>
      <top style="medium">
        <color theme="1"/>
      </top>
      <bottom style="medium">
        <color theme="1"/>
      </bottom>
      <diagonal/>
    </border>
    <border>
      <left style="medium">
        <color theme="1"/>
      </left>
      <right style="medium">
        <color theme="1"/>
      </right>
      <top style="medium">
        <color theme="1"/>
      </top>
      <bottom style="medium">
        <color theme="1"/>
      </bottom>
      <diagonal/>
    </border>
    <border>
      <left style="medium">
        <color theme="1"/>
      </left>
      <right style="thin">
        <color theme="1"/>
      </right>
      <top style="medium">
        <color theme="1"/>
      </top>
      <bottom style="thin">
        <color theme="1"/>
      </bottom>
      <diagonal/>
    </border>
    <border>
      <left style="thin">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medium">
        <color theme="1"/>
      </left>
      <right/>
      <top style="medium">
        <color theme="1"/>
      </top>
      <bottom style="thin">
        <color theme="1"/>
      </bottom>
      <diagonal/>
    </border>
    <border>
      <left/>
      <right style="medium">
        <color theme="1"/>
      </right>
      <top style="medium">
        <color theme="1"/>
      </top>
      <bottom style="thin">
        <color theme="1"/>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right/>
      <top style="thin">
        <color theme="1"/>
      </top>
      <bottom style="medium">
        <color theme="1"/>
      </bottom>
      <diagonal/>
    </border>
    <border>
      <left style="medium">
        <color theme="1"/>
      </left>
      <right style="medium">
        <color theme="1"/>
      </right>
      <top/>
      <bottom style="medium">
        <color theme="1"/>
      </bottom>
      <diagonal/>
    </border>
    <border>
      <left style="medium">
        <color theme="1"/>
      </left>
      <right style="thin">
        <color theme="1"/>
      </right>
      <top/>
      <bottom style="thin">
        <color theme="1"/>
      </bottom>
      <diagonal/>
    </border>
    <border>
      <left style="thin">
        <color theme="1"/>
      </left>
      <right/>
      <top/>
      <bottom style="thin">
        <color theme="1"/>
      </bottom>
      <diagonal/>
    </border>
    <border>
      <left style="thin">
        <color theme="1"/>
      </left>
      <right style="medium">
        <color theme="1"/>
      </right>
      <top/>
      <bottom style="thin">
        <color theme="1"/>
      </bottom>
      <diagonal/>
    </border>
    <border>
      <left style="thin">
        <color theme="1"/>
      </left>
      <right style="thin">
        <color theme="1"/>
      </right>
      <top/>
      <bottom style="thin">
        <color theme="1"/>
      </bottom>
      <diagonal/>
    </border>
    <border>
      <left style="thin">
        <color indexed="64"/>
      </left>
      <right style="medium">
        <color theme="1"/>
      </right>
      <top style="medium">
        <color theme="1"/>
      </top>
      <bottom style="thin">
        <color theme="1"/>
      </bottom>
      <diagonal/>
    </border>
    <border>
      <left style="thin">
        <color theme="1"/>
      </left>
      <right/>
      <top/>
      <bottom/>
      <diagonal/>
    </border>
    <border>
      <left style="thin">
        <color theme="1"/>
      </left>
      <right style="thin">
        <color theme="1"/>
      </right>
      <top/>
      <bottom/>
      <diagonal/>
    </border>
    <border>
      <left style="thin">
        <color theme="1"/>
      </left>
      <right style="thin">
        <color indexed="64"/>
      </right>
      <top style="medium">
        <color theme="1"/>
      </top>
      <bottom style="thin">
        <color theme="1"/>
      </bottom>
      <diagonal/>
    </border>
    <border>
      <left/>
      <right/>
      <top/>
      <bottom style="medium">
        <color theme="1"/>
      </bottom>
      <diagonal/>
    </border>
    <border>
      <left style="medium">
        <color theme="1"/>
      </left>
      <right style="thin">
        <color theme="1"/>
      </right>
      <top style="thin">
        <color indexed="64"/>
      </top>
      <bottom style="medium">
        <color theme="1"/>
      </bottom>
      <diagonal/>
    </border>
    <border>
      <left/>
      <right style="medium">
        <color theme="1"/>
      </right>
      <top/>
      <bottom style="medium">
        <color theme="1"/>
      </bottom>
      <diagonal/>
    </border>
    <border>
      <left style="medium">
        <color indexed="64"/>
      </left>
      <right style="thin">
        <color theme="1"/>
      </right>
      <top style="medium">
        <color indexed="64"/>
      </top>
      <bottom style="thin">
        <color theme="1"/>
      </bottom>
      <diagonal/>
    </border>
    <border>
      <left style="thin">
        <color theme="1"/>
      </left>
      <right style="thin">
        <color theme="1"/>
      </right>
      <top style="medium">
        <color indexed="64"/>
      </top>
      <bottom style="thin">
        <color theme="1"/>
      </bottom>
      <diagonal/>
    </border>
    <border>
      <left style="thin">
        <color theme="1"/>
      </left>
      <right style="medium">
        <color indexed="64"/>
      </right>
      <top style="medium">
        <color indexed="64"/>
      </top>
      <bottom style="thin">
        <color theme="1"/>
      </bottom>
      <diagonal/>
    </border>
    <border>
      <left style="medium">
        <color indexed="64"/>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style="medium">
        <color indexed="64"/>
      </right>
      <top style="thin">
        <color theme="1"/>
      </top>
      <bottom style="thin">
        <color theme="1"/>
      </bottom>
      <diagonal/>
    </border>
    <border>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medium">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medium">
        <color indexed="64"/>
      </left>
      <right style="thin">
        <color theme="1"/>
      </right>
      <top style="thin">
        <color theme="1"/>
      </top>
      <bottom style="medium">
        <color indexed="64"/>
      </bottom>
      <diagonal/>
    </border>
    <border>
      <left style="thin">
        <color theme="1"/>
      </left>
      <right style="thin">
        <color theme="1"/>
      </right>
      <top style="thin">
        <color theme="1"/>
      </top>
      <bottom style="medium">
        <color indexed="64"/>
      </bottom>
      <diagonal/>
    </border>
    <border>
      <left style="thin">
        <color theme="1"/>
      </left>
      <right style="medium">
        <color indexed="64"/>
      </right>
      <top style="thin">
        <color theme="1"/>
      </top>
      <bottom style="medium">
        <color indexed="64"/>
      </bottom>
      <diagonal/>
    </border>
    <border>
      <left/>
      <right style="thin">
        <color theme="1"/>
      </right>
      <top style="thin">
        <color theme="1"/>
      </top>
      <bottom style="medium">
        <color indexed="64"/>
      </bottom>
      <diagonal/>
    </border>
    <border>
      <left style="thin">
        <color theme="1"/>
      </left>
      <right style="medium">
        <color theme="1"/>
      </right>
      <top style="thin">
        <color theme="1"/>
      </top>
      <bottom style="medium">
        <color indexed="64"/>
      </bottom>
      <diagonal/>
    </border>
    <border>
      <left style="thin">
        <color theme="1"/>
      </left>
      <right style="thin">
        <color theme="1"/>
      </right>
      <top style="medium">
        <color indexed="64"/>
      </top>
      <bottom/>
      <diagonal/>
    </border>
    <border>
      <left style="medium">
        <color indexed="64"/>
      </left>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theme="1"/>
      </top>
      <bottom style="thin">
        <color theme="1"/>
      </bottom>
      <diagonal/>
    </border>
    <border>
      <left style="medium">
        <color indexed="64"/>
      </left>
      <right/>
      <top style="thin">
        <color theme="1"/>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theme="1"/>
      </top>
      <bottom style="thin">
        <color theme="1"/>
      </bottom>
      <diagonal/>
    </border>
    <border>
      <left style="thin">
        <color theme="1"/>
      </left>
      <right/>
      <top style="medium">
        <color theme="1"/>
      </top>
      <bottom style="thin">
        <color theme="1"/>
      </bottom>
      <diagonal/>
    </border>
    <border>
      <left style="medium">
        <color theme="1"/>
      </left>
      <right style="thin">
        <color theme="1"/>
      </right>
      <top/>
      <bottom/>
      <diagonal/>
    </border>
    <border>
      <left style="thin">
        <color theme="1"/>
      </left>
      <right/>
      <top style="thin">
        <color theme="1"/>
      </top>
      <bottom style="medium">
        <color theme="1"/>
      </bottom>
      <diagonal/>
    </border>
    <border>
      <left style="medium">
        <color theme="1"/>
      </left>
      <right/>
      <top style="medium">
        <color theme="1"/>
      </top>
      <bottom style="medium">
        <color rgb="FF000000"/>
      </bottom>
      <diagonal/>
    </border>
    <border>
      <left style="medium">
        <color rgb="FF000000"/>
      </left>
      <right/>
      <top style="medium">
        <color theme="1"/>
      </top>
      <bottom style="medium">
        <color theme="1"/>
      </bottom>
      <diagonal/>
    </border>
    <border>
      <left style="medium">
        <color rgb="FF000000"/>
      </left>
      <right/>
      <top/>
      <bottom style="thin">
        <color theme="1"/>
      </bottom>
      <diagonal/>
    </border>
    <border>
      <left style="medium">
        <color rgb="FF000000"/>
      </left>
      <right/>
      <top style="thin">
        <color indexed="64"/>
      </top>
      <bottom style="medium">
        <color rgb="FF000000"/>
      </bottom>
      <diagonal/>
    </border>
    <border>
      <left style="medium">
        <color rgb="FF000000"/>
      </left>
      <right/>
      <top style="medium">
        <color theme="1"/>
      </top>
      <bottom/>
      <diagonal/>
    </border>
    <border>
      <left style="medium">
        <color rgb="FF000000"/>
      </left>
      <right style="thin">
        <color rgb="FF000000"/>
      </right>
      <top style="medium">
        <color theme="1"/>
      </top>
      <bottom style="medium">
        <color theme="1"/>
      </bottom>
      <diagonal/>
    </border>
    <border>
      <left style="medium">
        <color rgb="FF000000"/>
      </left>
      <right style="medium">
        <color rgb="FF000000"/>
      </right>
      <top/>
      <bottom style="thin">
        <color theme="1"/>
      </bottom>
      <diagonal/>
    </border>
    <border>
      <left style="medium">
        <color rgb="FF000000"/>
      </left>
      <right style="medium">
        <color rgb="FF000000"/>
      </right>
      <top style="thin">
        <color indexed="64"/>
      </top>
      <bottom style="medium">
        <color rgb="FF000000"/>
      </bottom>
      <diagonal/>
    </border>
    <border>
      <left style="medium">
        <color rgb="FF000000"/>
      </left>
      <right/>
      <top style="thin">
        <color rgb="FF000000"/>
      </top>
      <bottom style="thin">
        <color theme="1"/>
      </bottom>
      <diagonal/>
    </border>
    <border>
      <left style="medium">
        <color rgb="FF000000"/>
      </left>
      <right style="medium">
        <color rgb="FF000000"/>
      </right>
      <top style="thin">
        <color rgb="FF000000"/>
      </top>
      <bottom style="thin">
        <color theme="1"/>
      </bottom>
      <diagonal/>
    </border>
    <border>
      <left style="medium">
        <color rgb="FF000000"/>
      </left>
      <right/>
      <top style="medium">
        <color indexed="64"/>
      </top>
      <bottom/>
      <diagonal/>
    </border>
    <border>
      <left style="medium">
        <color rgb="FF000000"/>
      </left>
      <right style="medium">
        <color rgb="FF000000"/>
      </right>
      <top style="medium">
        <color indexed="64"/>
      </top>
      <bottom/>
      <diagonal/>
    </border>
    <border>
      <left/>
      <right style="medium">
        <color rgb="FF000000"/>
      </right>
      <top style="medium">
        <color theme="1"/>
      </top>
      <bottom/>
      <diagonal/>
    </border>
    <border>
      <left style="thin">
        <color theme="1"/>
      </left>
      <right style="medium">
        <color rgb="FF000000"/>
      </right>
      <top style="medium">
        <color theme="1"/>
      </top>
      <bottom style="thin">
        <color theme="1"/>
      </bottom>
      <diagonal/>
    </border>
    <border>
      <left style="thin">
        <color theme="1"/>
      </left>
      <right style="medium">
        <color rgb="FF000000"/>
      </right>
      <top/>
      <bottom/>
      <diagonal/>
    </border>
    <border>
      <left style="thin">
        <color theme="1"/>
      </left>
      <right style="medium">
        <color rgb="FF000000"/>
      </right>
      <top style="thin">
        <color theme="1"/>
      </top>
      <bottom style="medium">
        <color theme="1"/>
      </bottom>
      <diagonal/>
    </border>
    <border>
      <left/>
      <right style="medium">
        <color rgb="FF000000"/>
      </right>
      <top style="medium">
        <color theme="1"/>
      </top>
      <bottom style="medium">
        <color theme="1"/>
      </bottom>
      <diagonal/>
    </border>
    <border>
      <left style="thin">
        <color rgb="FFC7DAFF"/>
      </left>
      <right style="thin">
        <color rgb="FFC7DAFF"/>
      </right>
      <top style="thin">
        <color rgb="FFC7DAFF"/>
      </top>
      <bottom style="thin">
        <color rgb="FFC7DAFF"/>
      </bottom>
      <diagonal/>
    </border>
    <border>
      <left style="thin">
        <color rgb="FFC7DAFF"/>
      </left>
      <right/>
      <top/>
      <bottom/>
      <diagonal/>
    </border>
    <border>
      <left style="thin">
        <color rgb="FFC7DAFF"/>
      </left>
      <right/>
      <top/>
      <bottom style="thin">
        <color rgb="FFC7DAFF"/>
      </bottom>
      <diagonal/>
    </border>
    <border>
      <left/>
      <right style="thin">
        <color rgb="FFC7DAFF"/>
      </right>
      <top/>
      <bottom/>
      <diagonal/>
    </border>
    <border>
      <left/>
      <right style="thin">
        <color rgb="FFC7DAFF"/>
      </right>
      <top/>
      <bottom style="thin">
        <color rgb="FFC7DAFF"/>
      </bottom>
      <diagonal/>
    </border>
  </borders>
  <cellStyleXfs count="5">
    <xf numFmtId="0" fontId="0" fillId="0" borderId="0"/>
    <xf numFmtId="9" fontId="2" fillId="0" borderId="0" applyFont="0" applyFill="0" applyBorder="0" applyAlignment="0" applyProtection="0"/>
    <xf numFmtId="0" fontId="27" fillId="0" borderId="0"/>
    <xf numFmtId="9" fontId="27" fillId="0" borderId="0" applyFont="0" applyFill="0" applyBorder="0" applyAlignment="0" applyProtection="0"/>
    <xf numFmtId="9" fontId="38" fillId="0" borderId="0" applyFont="0" applyFill="0" applyBorder="0" applyAlignment="0" applyProtection="0"/>
  </cellStyleXfs>
  <cellXfs count="393">
    <xf numFmtId="0" fontId="0" fillId="0" borderId="0" xfId="0"/>
    <xf numFmtId="0" fontId="1" fillId="0" borderId="0" xfId="0" applyFont="1"/>
    <xf numFmtId="0" fontId="5" fillId="0" borderId="0" xfId="0" applyFont="1"/>
    <xf numFmtId="0" fontId="5" fillId="0" borderId="0" xfId="0" applyFont="1" applyAlignment="1">
      <alignment horizontal="right"/>
    </xf>
    <xf numFmtId="0" fontId="6" fillId="0" borderId="0" xfId="0" applyFont="1"/>
    <xf numFmtId="0" fontId="6" fillId="0" borderId="0" xfId="0" applyFont="1" applyAlignment="1">
      <alignment horizontal="right"/>
    </xf>
    <xf numFmtId="164" fontId="7" fillId="0" borderId="0" xfId="0" applyNumberFormat="1" applyFont="1"/>
    <xf numFmtId="0" fontId="6" fillId="0" borderId="1" xfId="0" applyFont="1" applyBorder="1"/>
    <xf numFmtId="164" fontId="6" fillId="0" borderId="1" xfId="0" applyNumberFormat="1" applyFont="1" applyBorder="1"/>
    <xf numFmtId="0" fontId="6" fillId="0" borderId="2" xfId="0" applyFont="1" applyBorder="1"/>
    <xf numFmtId="164" fontId="6" fillId="0" borderId="2" xfId="0" applyNumberFormat="1" applyFont="1" applyBorder="1"/>
    <xf numFmtId="166" fontId="6" fillId="0" borderId="0" xfId="1" applyNumberFormat="1" applyFont="1" applyFill="1" applyBorder="1"/>
    <xf numFmtId="0" fontId="6" fillId="0" borderId="3" xfId="0" applyFont="1" applyBorder="1"/>
    <xf numFmtId="164" fontId="6" fillId="0" borderId="3" xfId="0" applyNumberFormat="1" applyFont="1" applyBorder="1"/>
    <xf numFmtId="0" fontId="8" fillId="0" borderId="0" xfId="0" applyFont="1"/>
    <xf numFmtId="167" fontId="1" fillId="0" borderId="0" xfId="0" applyNumberFormat="1" applyFont="1"/>
    <xf numFmtId="0" fontId="8" fillId="0" borderId="0" xfId="0" applyFont="1" applyAlignment="1">
      <alignment horizontal="left" indent="1"/>
    </xf>
    <xf numFmtId="168" fontId="7" fillId="0" borderId="0" xfId="0" applyNumberFormat="1" applyFont="1"/>
    <xf numFmtId="0" fontId="9" fillId="0" borderId="0" xfId="0" applyFont="1"/>
    <xf numFmtId="164" fontId="1" fillId="0" borderId="0" xfId="0" applyNumberFormat="1" applyFont="1"/>
    <xf numFmtId="0" fontId="1" fillId="0" borderId="0" xfId="0" applyFont="1" applyAlignment="1">
      <alignment horizontal="left" indent="1"/>
    </xf>
    <xf numFmtId="0" fontId="1" fillId="0" borderId="1" xfId="0" applyFont="1" applyBorder="1"/>
    <xf numFmtId="0" fontId="10" fillId="0" borderId="0" xfId="0" applyFont="1"/>
    <xf numFmtId="0" fontId="1" fillId="0" borderId="0" xfId="0" applyFont="1" applyAlignment="1">
      <alignment horizontal="left"/>
    </xf>
    <xf numFmtId="0" fontId="1" fillId="0" borderId="0" xfId="0" applyFont="1" applyAlignment="1">
      <alignment horizontal="left" wrapText="1" indent="3"/>
    </xf>
    <xf numFmtId="0" fontId="11" fillId="0" borderId="0" xfId="0" applyFont="1"/>
    <xf numFmtId="169" fontId="1" fillId="0" borderId="0" xfId="0" applyNumberFormat="1" applyFont="1"/>
    <xf numFmtId="0" fontId="12" fillId="0" borderId="0" xfId="0" applyFont="1" applyAlignment="1">
      <alignment horizontal="right"/>
    </xf>
    <xf numFmtId="164" fontId="9" fillId="0" borderId="0" xfId="0" applyNumberFormat="1" applyFont="1"/>
    <xf numFmtId="0" fontId="1" fillId="0" borderId="0" xfId="0" applyFont="1" applyAlignment="1">
      <alignment horizontal="left" vertical="top" indent="1"/>
    </xf>
    <xf numFmtId="0" fontId="1" fillId="0" borderId="0" xfId="0" applyFont="1" applyAlignment="1">
      <alignment wrapText="1"/>
    </xf>
    <xf numFmtId="164" fontId="13" fillId="0" borderId="0" xfId="0" applyNumberFormat="1" applyFont="1"/>
    <xf numFmtId="0" fontId="12" fillId="0" borderId="0" xfId="0" applyFont="1"/>
    <xf numFmtId="0" fontId="15" fillId="0" borderId="0" xfId="0" applyFont="1"/>
    <xf numFmtId="0" fontId="15" fillId="0" borderId="0" xfId="0" applyFont="1" applyAlignment="1">
      <alignment horizontal="right"/>
    </xf>
    <xf numFmtId="0" fontId="16" fillId="0" borderId="0" xfId="0" applyFont="1"/>
    <xf numFmtId="0" fontId="16" fillId="0" borderId="0" xfId="0" applyFont="1" applyAlignment="1">
      <alignment horizontal="right"/>
    </xf>
    <xf numFmtId="166" fontId="17" fillId="0" borderId="0" xfId="0" applyNumberFormat="1" applyFont="1"/>
    <xf numFmtId="0" fontId="16" fillId="0" borderId="1" xfId="0" applyFont="1" applyBorder="1"/>
    <xf numFmtId="166" fontId="18" fillId="0" borderId="1" xfId="0" applyNumberFormat="1" applyFont="1" applyBorder="1"/>
    <xf numFmtId="166" fontId="17" fillId="0" borderId="1" xfId="0" applyNumberFormat="1" applyFont="1" applyBorder="1"/>
    <xf numFmtId="0" fontId="16" fillId="0" borderId="2" xfId="0" applyFont="1" applyBorder="1"/>
    <xf numFmtId="166" fontId="18" fillId="0" borderId="2" xfId="0" applyNumberFormat="1" applyFont="1" applyBorder="1"/>
    <xf numFmtId="0" fontId="16" fillId="0" borderId="3" xfId="0" applyFont="1" applyBorder="1"/>
    <xf numFmtId="166" fontId="18" fillId="0" borderId="3" xfId="0" applyNumberFormat="1" applyFont="1" applyBorder="1"/>
    <xf numFmtId="0" fontId="17" fillId="0" borderId="0" xfId="0" applyFont="1"/>
    <xf numFmtId="166" fontId="18" fillId="0" borderId="0" xfId="0" applyNumberFormat="1" applyFont="1"/>
    <xf numFmtId="0" fontId="17" fillId="0" borderId="0" xfId="0" applyFont="1" applyAlignment="1">
      <alignment horizontal="left" indent="1"/>
    </xf>
    <xf numFmtId="0" fontId="19" fillId="0" borderId="0" xfId="0" applyFont="1"/>
    <xf numFmtId="166" fontId="0" fillId="0" borderId="0" xfId="0" applyNumberFormat="1"/>
    <xf numFmtId="0" fontId="0" fillId="0" borderId="0" xfId="0" applyAlignment="1">
      <alignment horizontal="left" indent="1"/>
    </xf>
    <xf numFmtId="166" fontId="16" fillId="0" borderId="1" xfId="0" applyNumberFormat="1" applyFont="1" applyBorder="1"/>
    <xf numFmtId="0" fontId="0" fillId="0" borderId="1" xfId="0" applyBorder="1"/>
    <xf numFmtId="166" fontId="16" fillId="0" borderId="2" xfId="0" applyNumberFormat="1" applyFont="1" applyBorder="1"/>
    <xf numFmtId="166" fontId="0" fillId="0" borderId="2" xfId="0" applyNumberFormat="1" applyBorder="1"/>
    <xf numFmtId="166" fontId="16" fillId="0" borderId="3" xfId="0" applyNumberFormat="1" applyFont="1" applyBorder="1"/>
    <xf numFmtId="166" fontId="0" fillId="0" borderId="1" xfId="0" applyNumberFormat="1" applyBorder="1"/>
    <xf numFmtId="0" fontId="0" fillId="0" borderId="0" xfId="0" applyAlignment="1">
      <alignment horizontal="left"/>
    </xf>
    <xf numFmtId="0" fontId="0" fillId="0" borderId="0" xfId="0" applyAlignment="1">
      <alignment horizontal="left" wrapText="1" indent="3"/>
    </xf>
    <xf numFmtId="0" fontId="20" fillId="0" borderId="0" xfId="0" applyFont="1"/>
    <xf numFmtId="9" fontId="0" fillId="0" borderId="0" xfId="1" applyFont="1"/>
    <xf numFmtId="166" fontId="0" fillId="0" borderId="0" xfId="1" applyNumberFormat="1" applyFont="1"/>
    <xf numFmtId="0" fontId="0" fillId="0" borderId="0" xfId="0" applyAlignment="1">
      <alignment horizontal="left" vertical="top" indent="1"/>
    </xf>
    <xf numFmtId="166" fontId="16" fillId="0" borderId="1" xfId="1" applyNumberFormat="1" applyFont="1" applyBorder="1"/>
    <xf numFmtId="166" fontId="16" fillId="0" borderId="2" xfId="1" applyNumberFormat="1" applyFont="1" applyBorder="1"/>
    <xf numFmtId="166" fontId="0" fillId="0" borderId="1" xfId="1" applyNumberFormat="1" applyFont="1" applyBorder="1"/>
    <xf numFmtId="0" fontId="0" fillId="0" borderId="0" xfId="0" applyAlignment="1">
      <alignment wrapText="1"/>
    </xf>
    <xf numFmtId="166" fontId="0" fillId="0" borderId="2" xfId="1" applyNumberFormat="1" applyFont="1" applyBorder="1"/>
    <xf numFmtId="166" fontId="16" fillId="0" borderId="3" xfId="1" applyNumberFormat="1" applyFont="1" applyBorder="1"/>
    <xf numFmtId="164" fontId="0" fillId="0" borderId="0" xfId="0" applyNumberFormat="1"/>
    <xf numFmtId="2" fontId="0" fillId="0" borderId="0" xfId="0" applyNumberFormat="1"/>
    <xf numFmtId="10" fontId="6" fillId="0" borderId="0" xfId="1" applyNumberFormat="1" applyFont="1" applyAlignment="1">
      <alignment vertical="center"/>
    </xf>
    <xf numFmtId="10" fontId="1" fillId="0" borderId="0" xfId="1" applyNumberFormat="1" applyFont="1" applyAlignment="1">
      <alignment vertical="center"/>
    </xf>
    <xf numFmtId="10" fontId="1" fillId="0" borderId="0" xfId="0" applyNumberFormat="1" applyFont="1" applyAlignment="1">
      <alignment vertical="center"/>
    </xf>
    <xf numFmtId="10" fontId="1" fillId="0" borderId="0" xfId="0" applyNumberFormat="1" applyFont="1"/>
    <xf numFmtId="10" fontId="6" fillId="0" borderId="0" xfId="0" applyNumberFormat="1" applyFont="1" applyAlignment="1">
      <alignment vertical="center"/>
    </xf>
    <xf numFmtId="10" fontId="6" fillId="0" borderId="0" xfId="0" applyNumberFormat="1" applyFont="1"/>
    <xf numFmtId="164" fontId="6" fillId="0" borderId="0" xfId="0" applyNumberFormat="1" applyFont="1"/>
    <xf numFmtId="0" fontId="3" fillId="3" borderId="0" xfId="0" applyFont="1" applyFill="1" applyAlignment="1">
      <alignment horizontal="centerContinuous"/>
    </xf>
    <xf numFmtId="0" fontId="4" fillId="3" borderId="0" xfId="0" applyFont="1" applyFill="1"/>
    <xf numFmtId="0" fontId="5" fillId="3" borderId="0" xfId="0" applyFont="1" applyFill="1" applyAlignment="1">
      <alignment horizontal="right"/>
    </xf>
    <xf numFmtId="0" fontId="6" fillId="4" borderId="0" xfId="0" applyFont="1" applyFill="1"/>
    <xf numFmtId="0" fontId="6" fillId="4" borderId="0" xfId="0" applyFont="1" applyFill="1" applyAlignment="1">
      <alignment horizontal="right"/>
    </xf>
    <xf numFmtId="164" fontId="23" fillId="0" borderId="0" xfId="0" applyNumberFormat="1" applyFont="1"/>
    <xf numFmtId="0" fontId="23" fillId="0" borderId="0" xfId="0" applyFont="1"/>
    <xf numFmtId="164" fontId="23" fillId="0" borderId="1" xfId="0" applyNumberFormat="1" applyFont="1" applyBorder="1"/>
    <xf numFmtId="165" fontId="23" fillId="0" borderId="0" xfId="0" applyNumberFormat="1" applyFont="1"/>
    <xf numFmtId="164" fontId="24" fillId="0" borderId="0" xfId="0" applyNumberFormat="1" applyFont="1"/>
    <xf numFmtId="165" fontId="24" fillId="0" borderId="0" xfId="0" applyNumberFormat="1" applyFont="1"/>
    <xf numFmtId="0" fontId="25" fillId="0" borderId="0" xfId="0" applyFont="1"/>
    <xf numFmtId="0" fontId="14" fillId="3" borderId="0" xfId="0" applyFont="1" applyFill="1" applyAlignment="1">
      <alignment horizontal="centerContinuous"/>
    </xf>
    <xf numFmtId="0" fontId="15" fillId="3" borderId="0" xfId="0" applyFont="1" applyFill="1"/>
    <xf numFmtId="0" fontId="15" fillId="3" borderId="0" xfId="0" applyFont="1" applyFill="1" applyAlignment="1">
      <alignment horizontal="right"/>
    </xf>
    <xf numFmtId="0" fontId="16" fillId="4" borderId="0" xfId="0" applyFont="1" applyFill="1"/>
    <xf numFmtId="0" fontId="16" fillId="4" borderId="0" xfId="0" applyFont="1" applyFill="1" applyAlignment="1">
      <alignment horizontal="right"/>
    </xf>
    <xf numFmtId="0" fontId="26" fillId="0" borderId="0" xfId="0" applyFont="1"/>
    <xf numFmtId="0" fontId="27" fillId="0" borderId="0" xfId="2"/>
    <xf numFmtId="164" fontId="16" fillId="0" borderId="0" xfId="2" applyNumberFormat="1" applyFont="1"/>
    <xf numFmtId="0" fontId="16" fillId="0" borderId="0" xfId="2" applyFont="1"/>
    <xf numFmtId="164" fontId="27" fillId="0" borderId="0" xfId="2" applyNumberFormat="1"/>
    <xf numFmtId="2" fontId="27" fillId="0" borderId="0" xfId="2" applyNumberFormat="1"/>
    <xf numFmtId="171" fontId="27" fillId="0" borderId="0" xfId="2" applyNumberFormat="1"/>
    <xf numFmtId="164" fontId="22" fillId="0" borderId="0" xfId="2" applyNumberFormat="1" applyFont="1"/>
    <xf numFmtId="165" fontId="27" fillId="0" borderId="0" xfId="2" applyNumberFormat="1"/>
    <xf numFmtId="0" fontId="27" fillId="0" borderId="0" xfId="2" applyAlignment="1">
      <alignment horizontal="center"/>
    </xf>
    <xf numFmtId="9" fontId="27" fillId="0" borderId="0" xfId="2" applyNumberFormat="1" applyAlignment="1">
      <alignment horizontal="right"/>
    </xf>
    <xf numFmtId="170" fontId="22" fillId="0" borderId="0" xfId="2" applyNumberFormat="1" applyFont="1"/>
    <xf numFmtId="0" fontId="29" fillId="0" borderId="0" xfId="2" applyFont="1"/>
    <xf numFmtId="166" fontId="27" fillId="0" borderId="0" xfId="2" applyNumberFormat="1"/>
    <xf numFmtId="166" fontId="22" fillId="0" borderId="0" xfId="2" applyNumberFormat="1" applyFont="1"/>
    <xf numFmtId="166" fontId="30" fillId="0" borderId="0" xfId="2" applyNumberFormat="1" applyFont="1"/>
    <xf numFmtId="0" fontId="22" fillId="0" borderId="0" xfId="2" applyFont="1"/>
    <xf numFmtId="0" fontId="27" fillId="0" borderId="0" xfId="2" applyAlignment="1">
      <alignment wrapText="1"/>
    </xf>
    <xf numFmtId="0" fontId="20" fillId="0" borderId="0" xfId="2" applyFont="1"/>
    <xf numFmtId="0" fontId="27" fillId="0" borderId="0" xfId="2" quotePrefix="1"/>
    <xf numFmtId="0" fontId="27" fillId="0" borderId="0" xfId="2" applyAlignment="1">
      <alignment horizontal="left" indent="1"/>
    </xf>
    <xf numFmtId="0" fontId="27" fillId="0" borderId="0" xfId="2" applyAlignment="1">
      <alignment horizontal="left" vertical="top"/>
    </xf>
    <xf numFmtId="164" fontId="27" fillId="0" borderId="0" xfId="2" applyNumberFormat="1" applyAlignment="1">
      <alignment horizontal="right"/>
    </xf>
    <xf numFmtId="0" fontId="27" fillId="0" borderId="0" xfId="2" applyAlignment="1">
      <alignment horizontal="left"/>
    </xf>
    <xf numFmtId="0" fontId="30" fillId="0" borderId="0" xfId="2" applyFont="1"/>
    <xf numFmtId="0" fontId="20" fillId="0" borderId="0" xfId="2" applyFont="1" applyAlignment="1">
      <alignment horizontal="left" indent="1"/>
    </xf>
    <xf numFmtId="170" fontId="27" fillId="0" borderId="0" xfId="2" applyNumberFormat="1"/>
    <xf numFmtId="0" fontId="29" fillId="0" borderId="0" xfId="2" applyFont="1" applyAlignment="1">
      <alignment horizontal="left"/>
    </xf>
    <xf numFmtId="166" fontId="27" fillId="0" borderId="0" xfId="2" quotePrefix="1" applyNumberFormat="1" applyAlignment="1">
      <alignment horizontal="right"/>
    </xf>
    <xf numFmtId="166" fontId="27" fillId="0" borderId="0" xfId="2" applyNumberFormat="1" applyAlignment="1">
      <alignment horizontal="right"/>
    </xf>
    <xf numFmtId="0" fontId="31" fillId="0" borderId="0" xfId="2" applyFont="1"/>
    <xf numFmtId="164" fontId="30" fillId="0" borderId="0" xfId="2" applyNumberFormat="1" applyFont="1"/>
    <xf numFmtId="164" fontId="19" fillId="0" borderId="0" xfId="2" applyNumberFormat="1" applyFont="1"/>
    <xf numFmtId="166" fontId="16" fillId="0" borderId="0" xfId="2" applyNumberFormat="1" applyFont="1"/>
    <xf numFmtId="0" fontId="0" fillId="0" borderId="0" xfId="3" applyNumberFormat="1" applyFont="1"/>
    <xf numFmtId="166" fontId="20" fillId="0" borderId="0" xfId="2" applyNumberFormat="1" applyFont="1"/>
    <xf numFmtId="0" fontId="19" fillId="0" borderId="0" xfId="2" applyFont="1" applyAlignment="1">
      <alignment horizontal="center" vertical="center"/>
    </xf>
    <xf numFmtId="0" fontId="19" fillId="0" borderId="10" xfId="2" applyFont="1" applyBorder="1" applyAlignment="1">
      <alignment horizontal="center" vertical="center"/>
    </xf>
    <xf numFmtId="0" fontId="19" fillId="0" borderId="11" xfId="2" applyFont="1" applyBorder="1" applyAlignment="1">
      <alignment horizontal="center" vertical="center"/>
    </xf>
    <xf numFmtId="0" fontId="16" fillId="0" borderId="12" xfId="2" applyFont="1" applyBorder="1" applyAlignment="1">
      <alignment horizontal="left" vertical="center"/>
    </xf>
    <xf numFmtId="0" fontId="19" fillId="0" borderId="13" xfId="2" applyFont="1" applyBorder="1" applyAlignment="1">
      <alignment horizontal="center" vertical="center"/>
    </xf>
    <xf numFmtId="0" fontId="16" fillId="0" borderId="14" xfId="2" applyFont="1" applyBorder="1" applyAlignment="1">
      <alignment horizontal="left" vertical="center"/>
    </xf>
    <xf numFmtId="0" fontId="28" fillId="0" borderId="0" xfId="2" applyFont="1" applyAlignment="1">
      <alignment vertical="center"/>
    </xf>
    <xf numFmtId="0" fontId="15" fillId="0" borderId="0" xfId="2" applyFont="1" applyAlignment="1">
      <alignment horizontal="right"/>
    </xf>
    <xf numFmtId="0" fontId="15" fillId="0" borderId="0" xfId="2" applyFont="1"/>
    <xf numFmtId="0" fontId="15" fillId="0" borderId="15" xfId="2" applyFont="1" applyBorder="1"/>
    <xf numFmtId="0" fontId="15" fillId="0" borderId="1" xfId="2" applyFont="1" applyBorder="1"/>
    <xf numFmtId="0" fontId="15" fillId="0" borderId="16" xfId="2" applyFont="1" applyBorder="1"/>
    <xf numFmtId="0" fontId="16" fillId="0" borderId="0" xfId="2" applyFont="1" applyAlignment="1">
      <alignment horizontal="right"/>
    </xf>
    <xf numFmtId="0" fontId="14" fillId="3" borderId="0" xfId="2" applyFont="1" applyFill="1" applyAlignment="1">
      <alignment horizontal="centerContinuous"/>
    </xf>
    <xf numFmtId="0" fontId="21" fillId="3" borderId="0" xfId="2" applyFont="1" applyFill="1"/>
    <xf numFmtId="0" fontId="15" fillId="3" borderId="0" xfId="2" applyFont="1" applyFill="1" applyAlignment="1">
      <alignment horizontal="right"/>
    </xf>
    <xf numFmtId="0" fontId="28" fillId="4" borderId="0" xfId="2" applyFont="1" applyFill="1"/>
    <xf numFmtId="0" fontId="28" fillId="4" borderId="0" xfId="2" applyFont="1" applyFill="1" applyAlignment="1">
      <alignment horizontal="left"/>
    </xf>
    <xf numFmtId="0" fontId="16" fillId="4" borderId="0" xfId="2" applyFont="1" applyFill="1" applyAlignment="1">
      <alignment horizontal="right"/>
    </xf>
    <xf numFmtId="0" fontId="34" fillId="0" borderId="0" xfId="2" applyFont="1"/>
    <xf numFmtId="0" fontId="35" fillId="0" borderId="0" xfId="2" applyFont="1"/>
    <xf numFmtId="0" fontId="1" fillId="0" borderId="4" xfId="0" applyFont="1" applyBorder="1" applyAlignment="1">
      <alignment horizontal="left" vertical="top" wrapText="1"/>
    </xf>
    <xf numFmtId="0" fontId="1" fillId="0" borderId="8" xfId="0" applyFont="1" applyBorder="1" applyAlignment="1">
      <alignment vertical="top" wrapText="1"/>
    </xf>
    <xf numFmtId="0" fontId="6" fillId="0" borderId="5" xfId="0" applyFont="1" applyBorder="1" applyAlignment="1">
      <alignment vertical="top" wrapText="1"/>
    </xf>
    <xf numFmtId="165" fontId="6" fillId="0" borderId="5" xfId="0" applyNumberFormat="1" applyFont="1" applyBorder="1" applyAlignment="1">
      <alignment horizontal="right" vertical="top"/>
    </xf>
    <xf numFmtId="165" fontId="6" fillId="0" borderId="6" xfId="0" applyNumberFormat="1" applyFont="1" applyBorder="1" applyAlignment="1">
      <alignment horizontal="right" vertical="top"/>
    </xf>
    <xf numFmtId="0" fontId="1" fillId="0" borderId="0" xfId="0" applyFont="1" applyAlignment="1">
      <alignment vertical="top"/>
    </xf>
    <xf numFmtId="10" fontId="1" fillId="0" borderId="0" xfId="0" applyNumberFormat="1" applyFont="1" applyAlignment="1">
      <alignment vertical="top"/>
    </xf>
    <xf numFmtId="0" fontId="15" fillId="3" borderId="5" xfId="0" applyFont="1" applyFill="1" applyBorder="1" applyAlignment="1">
      <alignment vertical="center"/>
    </xf>
    <xf numFmtId="0" fontId="15" fillId="3" borderId="5" xfId="0" applyFont="1" applyFill="1" applyBorder="1" applyAlignment="1">
      <alignment horizontal="right"/>
    </xf>
    <xf numFmtId="0" fontId="15" fillId="3" borderId="6" xfId="0" applyFont="1" applyFill="1" applyBorder="1" applyAlignment="1">
      <alignment horizontal="right"/>
    </xf>
    <xf numFmtId="166" fontId="22" fillId="0" borderId="0" xfId="2" applyNumberFormat="1" applyFont="1" applyFill="1"/>
    <xf numFmtId="0" fontId="6" fillId="2" borderId="0" xfId="0" applyFont="1" applyFill="1"/>
    <xf numFmtId="164" fontId="6" fillId="2" borderId="0" xfId="0" applyNumberFormat="1" applyFont="1" applyFill="1"/>
    <xf numFmtId="166" fontId="6" fillId="2" borderId="0" xfId="0" applyNumberFormat="1" applyFont="1" applyFill="1"/>
    <xf numFmtId="0" fontId="6" fillId="2" borderId="3" xfId="0" applyFont="1" applyFill="1" applyBorder="1"/>
    <xf numFmtId="166" fontId="6" fillId="2" borderId="3" xfId="0" applyNumberFormat="1" applyFont="1" applyFill="1" applyBorder="1"/>
    <xf numFmtId="165" fontId="1" fillId="0" borderId="0" xfId="0" applyNumberFormat="1" applyFont="1"/>
    <xf numFmtId="0" fontId="1" fillId="0" borderId="0" xfId="0" applyFont="1" applyAlignment="1">
      <alignment horizontal="right"/>
    </xf>
    <xf numFmtId="1" fontId="27" fillId="0" borderId="0" xfId="2" applyNumberFormat="1"/>
    <xf numFmtId="0" fontId="27" fillId="0" borderId="0" xfId="2" applyNumberFormat="1"/>
    <xf numFmtId="1" fontId="16" fillId="0" borderId="0" xfId="2" applyNumberFormat="1" applyFont="1"/>
    <xf numFmtId="1" fontId="12" fillId="0" borderId="0" xfId="0" applyNumberFormat="1" applyFont="1"/>
    <xf numFmtId="165" fontId="12" fillId="0" borderId="0" xfId="0" applyNumberFormat="1" applyFont="1"/>
    <xf numFmtId="0" fontId="1" fillId="2" borderId="0" xfId="0" applyFont="1" applyFill="1"/>
    <xf numFmtId="164" fontId="1" fillId="2" borderId="0" xfId="0" applyNumberFormat="1" applyFont="1" applyFill="1"/>
    <xf numFmtId="166" fontId="1" fillId="2" borderId="0" xfId="0" applyNumberFormat="1" applyFont="1" applyFill="1"/>
    <xf numFmtId="0" fontId="1" fillId="2" borderId="3" xfId="0" applyFont="1" applyFill="1" applyBorder="1"/>
    <xf numFmtId="166" fontId="1" fillId="2" borderId="3" xfId="0" applyNumberFormat="1" applyFont="1" applyFill="1" applyBorder="1"/>
    <xf numFmtId="2" fontId="1" fillId="0" borderId="0" xfId="0" applyNumberFormat="1" applyFont="1"/>
    <xf numFmtId="0" fontId="24" fillId="0" borderId="0" xfId="0" applyFont="1"/>
    <xf numFmtId="0" fontId="36" fillId="0" borderId="0" xfId="0" applyFont="1"/>
    <xf numFmtId="166" fontId="1" fillId="0" borderId="0" xfId="0" applyNumberFormat="1" applyFont="1"/>
    <xf numFmtId="170" fontId="1" fillId="0" borderId="0" xfId="0" applyNumberFormat="1" applyFont="1"/>
    <xf numFmtId="165" fontId="1" fillId="0" borderId="4" xfId="0" applyNumberFormat="1" applyFont="1" applyBorder="1" applyAlignment="1">
      <alignment horizontal="center" vertical="center"/>
    </xf>
    <xf numFmtId="165" fontId="1" fillId="0" borderId="7" xfId="0" applyNumberFormat="1" applyFont="1" applyBorder="1" applyAlignment="1">
      <alignment horizontal="center" vertical="center"/>
    </xf>
    <xf numFmtId="165" fontId="1" fillId="0" borderId="8" xfId="0" applyNumberFormat="1" applyFont="1" applyBorder="1" applyAlignment="1">
      <alignment horizontal="center" vertical="center"/>
    </xf>
    <xf numFmtId="165" fontId="1" fillId="0" borderId="9" xfId="0" applyNumberFormat="1" applyFont="1" applyBorder="1" applyAlignment="1">
      <alignment horizontal="center" vertical="center"/>
    </xf>
    <xf numFmtId="0" fontId="15" fillId="3" borderId="0" xfId="0" applyFont="1" applyFill="1" applyAlignment="1">
      <alignment vertical="center"/>
    </xf>
    <xf numFmtId="164" fontId="37" fillId="0" borderId="0" xfId="2" applyNumberFormat="1" applyFont="1"/>
    <xf numFmtId="165" fontId="37" fillId="0" borderId="0" xfId="2" applyNumberFormat="1" applyFont="1"/>
    <xf numFmtId="0" fontId="5" fillId="3" borderId="0" xfId="0" applyFont="1" applyFill="1" applyAlignment="1">
      <alignment vertical="center"/>
    </xf>
    <xf numFmtId="17" fontId="5" fillId="3" borderId="0" xfId="0" applyNumberFormat="1" applyFont="1" applyFill="1" applyAlignment="1">
      <alignment horizontal="right" vertical="center"/>
    </xf>
    <xf numFmtId="171" fontId="1" fillId="0" borderId="0" xfId="0" applyNumberFormat="1" applyFont="1"/>
    <xf numFmtId="0" fontId="6" fillId="0" borderId="0" xfId="0" applyFont="1" applyAlignment="1">
      <alignment horizontal="left"/>
    </xf>
    <xf numFmtId="10" fontId="0" fillId="0" borderId="0" xfId="0" applyNumberFormat="1" applyAlignment="1">
      <alignment horizontal="right"/>
    </xf>
    <xf numFmtId="10" fontId="0" fillId="0" borderId="0" xfId="0" applyNumberFormat="1" applyAlignment="1">
      <alignment vertical="center"/>
    </xf>
    <xf numFmtId="0" fontId="6"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horizontal="left" vertical="center" wrapText="1"/>
    </xf>
    <xf numFmtId="0" fontId="6" fillId="0" borderId="0" xfId="0" applyFont="1" applyAlignment="1">
      <alignment wrapText="1"/>
    </xf>
    <xf numFmtId="0" fontId="39" fillId="0" borderId="0" xfId="2" applyFont="1"/>
    <xf numFmtId="0" fontId="40" fillId="3" borderId="17" xfId="2" applyFont="1" applyFill="1" applyBorder="1" applyAlignment="1">
      <alignment horizontal="center" vertical="center"/>
    </xf>
    <xf numFmtId="0" fontId="40" fillId="3" borderId="18" xfId="2" applyFont="1" applyFill="1" applyBorder="1" applyAlignment="1">
      <alignment horizontal="centerContinuous" vertical="center"/>
    </xf>
    <xf numFmtId="0" fontId="40" fillId="3" borderId="20" xfId="2" applyFont="1" applyFill="1" applyBorder="1" applyAlignment="1">
      <alignment horizontal="centerContinuous" vertical="center" wrapText="1"/>
    </xf>
    <xf numFmtId="0" fontId="40" fillId="3" borderId="20" xfId="2" applyFont="1" applyFill="1" applyBorder="1" applyAlignment="1">
      <alignment horizontal="centerContinuous" vertical="center"/>
    </xf>
    <xf numFmtId="0" fontId="41" fillId="3" borderId="18" xfId="2" applyFont="1" applyFill="1" applyBorder="1" applyAlignment="1">
      <alignment vertical="center" wrapText="1"/>
    </xf>
    <xf numFmtId="0" fontId="41" fillId="3" borderId="19" xfId="2" applyFont="1" applyFill="1" applyBorder="1" applyAlignment="1">
      <alignment vertical="center" wrapText="1"/>
    </xf>
    <xf numFmtId="0" fontId="41" fillId="3" borderId="20" xfId="2" applyFont="1" applyFill="1" applyBorder="1" applyAlignment="1">
      <alignment vertical="center" wrapText="1"/>
    </xf>
    <xf numFmtId="0" fontId="41" fillId="3" borderId="21" xfId="2" applyFont="1" applyFill="1" applyBorder="1" applyAlignment="1">
      <alignment vertical="center" wrapText="1"/>
    </xf>
    <xf numFmtId="0" fontId="42" fillId="0" borderId="22" xfId="2" applyFont="1" applyBorder="1" applyAlignment="1">
      <alignment vertical="center"/>
    </xf>
    <xf numFmtId="0" fontId="42" fillId="0" borderId="5" xfId="2" applyFont="1" applyBorder="1" applyAlignment="1">
      <alignment vertical="center" wrapText="1"/>
    </xf>
    <xf numFmtId="0" fontId="42" fillId="0" borderId="26" xfId="4" applyNumberFormat="1" applyFont="1" applyBorder="1" applyAlignment="1">
      <alignment horizontal="centerContinuous" vertical="center" wrapText="1"/>
    </xf>
    <xf numFmtId="0" fontId="42" fillId="0" borderId="28" xfId="4" applyNumberFormat="1" applyFont="1" applyBorder="1" applyAlignment="1">
      <alignment horizontal="centerContinuous" vertical="center" wrapText="1"/>
    </xf>
    <xf numFmtId="0" fontId="42" fillId="0" borderId="29" xfId="2" applyFont="1" applyBorder="1" applyAlignment="1">
      <alignment vertical="center" wrapText="1"/>
    </xf>
    <xf numFmtId="0" fontId="42" fillId="0" borderId="30" xfId="4" applyNumberFormat="1" applyFont="1" applyBorder="1" applyAlignment="1">
      <alignment horizontal="centerContinuous" vertical="center" wrapText="1"/>
    </xf>
    <xf numFmtId="0" fontId="42" fillId="0" borderId="32" xfId="4" applyNumberFormat="1" applyFont="1" applyBorder="1" applyAlignment="1">
      <alignment horizontal="centerContinuous" vertical="center" wrapText="1"/>
    </xf>
    <xf numFmtId="0" fontId="42" fillId="0" borderId="18" xfId="2" applyFont="1" applyBorder="1" applyAlignment="1">
      <alignment vertical="center" wrapText="1"/>
    </xf>
    <xf numFmtId="0" fontId="42" fillId="0" borderId="33" xfId="2" applyFont="1" applyBorder="1" applyAlignment="1">
      <alignment horizontal="centerContinuous" vertical="center" wrapText="1"/>
    </xf>
    <xf numFmtId="0" fontId="42" fillId="0" borderId="34" xfId="2" applyFont="1" applyBorder="1" applyAlignment="1">
      <alignment horizontal="centerContinuous" vertical="center" wrapText="1"/>
    </xf>
    <xf numFmtId="0" fontId="43" fillId="0" borderId="34" xfId="2" applyFont="1" applyBorder="1" applyAlignment="1">
      <alignment horizontal="centerContinuous" vertical="center" wrapText="1"/>
    </xf>
    <xf numFmtId="0" fontId="42" fillId="0" borderId="35" xfId="4" applyNumberFormat="1" applyFont="1" applyBorder="1" applyAlignment="1">
      <alignment horizontal="centerContinuous" vertical="center" wrapText="1"/>
    </xf>
    <xf numFmtId="0" fontId="42" fillId="0" borderId="37" xfId="4" applyNumberFormat="1" applyFont="1" applyBorder="1" applyAlignment="1">
      <alignment horizontal="centerContinuous" vertical="center"/>
    </xf>
    <xf numFmtId="0" fontId="42" fillId="0" borderId="35" xfId="4" applyNumberFormat="1" applyFont="1" applyBorder="1" applyAlignment="1">
      <alignment horizontal="centerContinuous" vertical="center"/>
    </xf>
    <xf numFmtId="0" fontId="44" fillId="0" borderId="19" xfId="2" applyFont="1" applyBorder="1" applyAlignment="1">
      <alignment vertical="center"/>
    </xf>
    <xf numFmtId="0" fontId="41" fillId="3" borderId="18" xfId="2" applyFont="1" applyFill="1" applyBorder="1" applyAlignment="1">
      <alignment vertical="center"/>
    </xf>
    <xf numFmtId="0" fontId="40" fillId="3" borderId="38" xfId="2" applyFont="1" applyFill="1" applyBorder="1" applyAlignment="1">
      <alignment horizontal="center" vertical="center"/>
    </xf>
    <xf numFmtId="0" fontId="40" fillId="3" borderId="19" xfId="2" applyFont="1" applyFill="1" applyBorder="1" applyAlignment="1">
      <alignment horizontal="center" vertical="center"/>
    </xf>
    <xf numFmtId="0" fontId="42" fillId="0" borderId="39" xfId="2" applyFont="1" applyBorder="1" applyAlignment="1">
      <alignment vertical="center"/>
    </xf>
    <xf numFmtId="37" fontId="42" fillId="0" borderId="40" xfId="4" applyNumberFormat="1" applyFont="1" applyBorder="1" applyAlignment="1">
      <alignment horizontal="center" vertical="center"/>
    </xf>
    <xf numFmtId="37" fontId="42" fillId="0" borderId="41" xfId="4" applyNumberFormat="1" applyFont="1" applyBorder="1" applyAlignment="1">
      <alignment horizontal="center" vertical="center"/>
    </xf>
    <xf numFmtId="37" fontId="42" fillId="0" borderId="42" xfId="4" applyNumberFormat="1" applyFont="1" applyBorder="1" applyAlignment="1">
      <alignment horizontal="center" vertical="center"/>
    </xf>
    <xf numFmtId="37" fontId="42" fillId="0" borderId="43" xfId="4" applyNumberFormat="1" applyFont="1" applyBorder="1" applyAlignment="1">
      <alignment horizontal="center" vertical="center"/>
    </xf>
    <xf numFmtId="37" fontId="42" fillId="0" borderId="44" xfId="4" applyNumberFormat="1" applyFont="1" applyBorder="1" applyAlignment="1">
      <alignment horizontal="center" vertical="center"/>
    </xf>
    <xf numFmtId="0" fontId="45" fillId="0" borderId="39" xfId="2" applyFont="1" applyBorder="1" applyAlignment="1">
      <alignment vertical="center"/>
    </xf>
    <xf numFmtId="0" fontId="45" fillId="0" borderId="45" xfId="4" applyNumberFormat="1" applyFont="1" applyBorder="1" applyAlignment="1">
      <alignment horizontal="center" vertical="center"/>
    </xf>
    <xf numFmtId="166" fontId="45" fillId="0" borderId="46" xfId="4" applyNumberFormat="1" applyFont="1" applyBorder="1" applyAlignment="1">
      <alignment horizontal="center" vertical="center"/>
    </xf>
    <xf numFmtId="166" fontId="45" fillId="0" borderId="47" xfId="4" applyNumberFormat="1" applyFont="1" applyBorder="1" applyAlignment="1">
      <alignment horizontal="center" vertical="center"/>
    </xf>
    <xf numFmtId="0" fontId="46" fillId="0" borderId="45" xfId="4" applyNumberFormat="1" applyFont="1" applyBorder="1" applyAlignment="1">
      <alignment horizontal="center" vertical="center"/>
    </xf>
    <xf numFmtId="0" fontId="44" fillId="0" borderId="49" xfId="2" applyFont="1" applyBorder="1" applyAlignment="1">
      <alignment vertical="center"/>
    </xf>
    <xf numFmtId="0" fontId="44" fillId="0" borderId="18" xfId="2" applyFont="1" applyBorder="1" applyAlignment="1">
      <alignment horizontal="center" vertical="center"/>
    </xf>
    <xf numFmtId="0" fontId="44" fillId="0" borderId="19" xfId="2" applyFont="1" applyBorder="1" applyAlignment="1">
      <alignment horizontal="center" vertical="center"/>
    </xf>
    <xf numFmtId="0" fontId="44" fillId="0" borderId="20" xfId="2" applyFont="1" applyBorder="1" applyAlignment="1">
      <alignment horizontal="center" vertical="center"/>
    </xf>
    <xf numFmtId="0" fontId="42" fillId="0" borderId="24" xfId="2" applyFont="1" applyBorder="1" applyAlignment="1">
      <alignment vertical="center"/>
    </xf>
    <xf numFmtId="37" fontId="42" fillId="0" borderId="50" xfId="4" applyNumberFormat="1" applyFont="1" applyBorder="1" applyAlignment="1">
      <alignment horizontal="center" vertical="center"/>
    </xf>
    <xf numFmtId="37" fontId="42" fillId="0" borderId="51" xfId="4" applyNumberFormat="1" applyFont="1" applyBorder="1" applyAlignment="1">
      <alignment horizontal="center" vertical="center"/>
    </xf>
    <xf numFmtId="37" fontId="42" fillId="0" borderId="52" xfId="4" applyNumberFormat="1" applyFont="1" applyBorder="1" applyAlignment="1">
      <alignment horizontal="center" vertical="center"/>
    </xf>
    <xf numFmtId="37" fontId="42" fillId="0" borderId="53" xfId="4" applyNumberFormat="1" applyFont="1" applyBorder="1" applyAlignment="1">
      <alignment horizontal="center" vertical="center"/>
    </xf>
    <xf numFmtId="37" fontId="42" fillId="0" borderId="54" xfId="4" applyNumberFormat="1" applyFont="1" applyBorder="1" applyAlignment="1">
      <alignment horizontal="center" vertical="center"/>
    </xf>
    <xf numFmtId="37" fontId="42" fillId="0" borderId="55" xfId="4" applyNumberFormat="1" applyFont="1" applyBorder="1" applyAlignment="1">
      <alignment horizontal="center" vertical="center"/>
    </xf>
    <xf numFmtId="0" fontId="46" fillId="0" borderId="35" xfId="4" applyNumberFormat="1" applyFont="1" applyBorder="1" applyAlignment="1">
      <alignment horizontal="center" vertical="center"/>
    </xf>
    <xf numFmtId="0" fontId="44" fillId="0" borderId="49" xfId="2" applyFont="1" applyBorder="1" applyAlignment="1">
      <alignment horizontal="center" vertical="center"/>
    </xf>
    <xf numFmtId="0" fontId="42" fillId="0" borderId="49" xfId="2" applyFont="1" applyBorder="1" applyAlignment="1">
      <alignment vertical="center"/>
    </xf>
    <xf numFmtId="37" fontId="42" fillId="0" borderId="56" xfId="4" applyNumberFormat="1" applyFont="1" applyBorder="1" applyAlignment="1">
      <alignment horizontal="center" vertical="center"/>
    </xf>
    <xf numFmtId="37" fontId="42" fillId="0" borderId="57" xfId="4" applyNumberFormat="1" applyFont="1" applyBorder="1" applyAlignment="1">
      <alignment horizontal="center" vertical="center"/>
    </xf>
    <xf numFmtId="37" fontId="42" fillId="0" borderId="25" xfId="4" applyNumberFormat="1" applyFont="1" applyBorder="1" applyAlignment="1">
      <alignment horizontal="center" vertical="center"/>
    </xf>
    <xf numFmtId="0" fontId="45" fillId="0" borderId="24" xfId="2" applyFont="1" applyBorder="1" applyAlignment="1">
      <alignment vertical="center"/>
    </xf>
    <xf numFmtId="166" fontId="47" fillId="0" borderId="47" xfId="4" applyNumberFormat="1" applyFont="1" applyBorder="1" applyAlignment="1">
      <alignment horizontal="center" vertical="center"/>
    </xf>
    <xf numFmtId="0" fontId="44" fillId="0" borderId="39" xfId="2" applyFont="1" applyBorder="1" applyAlignment="1">
      <alignment vertical="center"/>
    </xf>
    <xf numFmtId="0" fontId="42" fillId="0" borderId="17" xfId="2" applyFont="1" applyBorder="1" applyAlignment="1">
      <alignment vertical="center"/>
    </xf>
    <xf numFmtId="37" fontId="42" fillId="0" borderId="32" xfId="4" applyNumberFormat="1" applyFont="1" applyBorder="1" applyAlignment="1">
      <alignment horizontal="center" vertical="center"/>
    </xf>
    <xf numFmtId="0" fontId="45" fillId="0" borderId="58" xfId="4" applyNumberFormat="1" applyFont="1" applyBorder="1" applyAlignment="1">
      <alignment horizontal="center" vertical="center"/>
    </xf>
    <xf numFmtId="0" fontId="46" fillId="0" borderId="59" xfId="4" applyNumberFormat="1" applyFont="1" applyBorder="1" applyAlignment="1">
      <alignment horizontal="center" vertical="center"/>
    </xf>
    <xf numFmtId="166" fontId="45" fillId="0" borderId="58" xfId="4" applyNumberFormat="1" applyFont="1" applyBorder="1" applyAlignment="1">
      <alignment horizontal="center" vertical="center"/>
    </xf>
    <xf numFmtId="166" fontId="45" fillId="0" borderId="60" xfId="4" applyNumberFormat="1" applyFont="1" applyBorder="1" applyAlignment="1">
      <alignment horizontal="center" vertical="center"/>
    </xf>
    <xf numFmtId="0" fontId="46" fillId="0" borderId="29" xfId="4" applyNumberFormat="1" applyFont="1" applyBorder="1" applyAlignment="1">
      <alignment horizontal="center" vertical="center"/>
    </xf>
    <xf numFmtId="0" fontId="48" fillId="0" borderId="18" xfId="2" applyFont="1" applyBorder="1" applyAlignment="1">
      <alignment vertical="center"/>
    </xf>
    <xf numFmtId="0" fontId="48" fillId="0" borderId="22" xfId="2" applyFont="1" applyBorder="1" applyAlignment="1">
      <alignment horizontal="center" vertical="center"/>
    </xf>
    <xf numFmtId="0" fontId="48" fillId="0" borderId="21" xfId="2" applyFont="1" applyBorder="1" applyAlignment="1">
      <alignment horizontal="center" vertical="center"/>
    </xf>
    <xf numFmtId="0" fontId="48" fillId="0" borderId="23" xfId="2" applyFont="1" applyBorder="1" applyAlignment="1">
      <alignment horizontal="center" vertical="center"/>
    </xf>
    <xf numFmtId="0" fontId="48" fillId="0" borderId="18" xfId="2" applyFont="1" applyBorder="1" applyAlignment="1">
      <alignment horizontal="center" vertical="center"/>
    </xf>
    <xf numFmtId="0" fontId="48" fillId="0" borderId="19" xfId="2" applyFont="1" applyBorder="1" applyAlignment="1">
      <alignment horizontal="center" vertical="center"/>
    </xf>
    <xf numFmtId="0" fontId="48" fillId="0" borderId="20" xfId="2" applyFont="1" applyBorder="1" applyAlignment="1">
      <alignment horizontal="center" vertical="center"/>
    </xf>
    <xf numFmtId="0" fontId="42" fillId="0" borderId="18" xfId="2" applyFont="1" applyBorder="1" applyAlignment="1">
      <alignment vertical="center"/>
    </xf>
    <xf numFmtId="166" fontId="42" fillId="0" borderId="61" xfId="4" applyNumberFormat="1" applyFont="1" applyBorder="1" applyAlignment="1">
      <alignment horizontal="center" vertical="center"/>
    </xf>
    <xf numFmtId="166" fontId="42" fillId="0" borderId="62" xfId="4" applyNumberFormat="1" applyFont="1" applyBorder="1" applyAlignment="1">
      <alignment horizontal="center" vertical="center"/>
    </xf>
    <xf numFmtId="166" fontId="42" fillId="0" borderId="63" xfId="4" applyNumberFormat="1" applyFont="1" applyBorder="1" applyAlignment="1">
      <alignment horizontal="center" vertical="center"/>
    </xf>
    <xf numFmtId="166" fontId="42" fillId="0" borderId="64" xfId="4" applyNumberFormat="1" applyFont="1" applyBorder="1" applyAlignment="1">
      <alignment horizontal="center" vertical="center"/>
    </xf>
    <xf numFmtId="166" fontId="42" fillId="0" borderId="65" xfId="4" applyNumberFormat="1" applyFont="1" applyBorder="1" applyAlignment="1">
      <alignment horizontal="center" vertical="center"/>
    </xf>
    <xf numFmtId="166" fontId="42" fillId="0" borderId="66" xfId="4" applyNumberFormat="1" applyFont="1" applyBorder="1" applyAlignment="1">
      <alignment horizontal="center" vertical="center"/>
    </xf>
    <xf numFmtId="166" fontId="42" fillId="0" borderId="67" xfId="4" applyNumberFormat="1" applyFont="1" applyBorder="1" applyAlignment="1">
      <alignment horizontal="center" vertical="center"/>
    </xf>
    <xf numFmtId="166" fontId="42" fillId="0" borderId="68" xfId="4" applyNumberFormat="1" applyFont="1" applyBorder="1" applyAlignment="1">
      <alignment horizontal="center" vertical="center"/>
    </xf>
    <xf numFmtId="166" fontId="42" fillId="0" borderId="71" xfId="4" applyNumberFormat="1" applyFont="1" applyBorder="1" applyAlignment="1">
      <alignment horizontal="center" vertical="center"/>
    </xf>
    <xf numFmtId="166" fontId="42" fillId="0" borderId="72" xfId="4" applyNumberFormat="1" applyFont="1" applyBorder="1" applyAlignment="1">
      <alignment horizontal="center" vertical="center"/>
    </xf>
    <xf numFmtId="166" fontId="42" fillId="0" borderId="73" xfId="4" applyNumberFormat="1" applyFont="1" applyBorder="1" applyAlignment="1">
      <alignment horizontal="center" vertical="center"/>
    </xf>
    <xf numFmtId="166" fontId="42" fillId="0" borderId="74" xfId="4" applyNumberFormat="1" applyFont="1" applyBorder="1" applyAlignment="1">
      <alignment horizontal="center" vertical="center"/>
    </xf>
    <xf numFmtId="166" fontId="42" fillId="0" borderId="75" xfId="4" applyNumberFormat="1" applyFont="1" applyBorder="1" applyAlignment="1">
      <alignment horizontal="center" vertical="center"/>
    </xf>
    <xf numFmtId="0" fontId="45" fillId="0" borderId="0" xfId="4" applyNumberFormat="1" applyFont="1" applyBorder="1" applyAlignment="1">
      <alignment horizontal="center" vertical="center"/>
    </xf>
    <xf numFmtId="166" fontId="45" fillId="0" borderId="0" xfId="4" applyNumberFormat="1" applyFont="1" applyBorder="1" applyAlignment="1">
      <alignment horizontal="center" vertical="center"/>
    </xf>
    <xf numFmtId="166" fontId="45" fillId="0" borderId="25" xfId="4" applyNumberFormat="1" applyFont="1" applyBorder="1" applyAlignment="1">
      <alignment horizontal="center" vertical="center"/>
    </xf>
    <xf numFmtId="37" fontId="42" fillId="0" borderId="61" xfId="4" applyNumberFormat="1" applyFont="1" applyBorder="1" applyAlignment="1">
      <alignment horizontal="center" vertical="center"/>
    </xf>
    <xf numFmtId="37" fontId="42" fillId="0" borderId="76" xfId="4" applyNumberFormat="1" applyFont="1" applyBorder="1" applyAlignment="1">
      <alignment horizontal="center" vertical="center"/>
    </xf>
    <xf numFmtId="37" fontId="42" fillId="0" borderId="63" xfId="4" applyNumberFormat="1" applyFont="1" applyBorder="1" applyAlignment="1">
      <alignment horizontal="center" vertical="center"/>
    </xf>
    <xf numFmtId="37" fontId="42" fillId="0" borderId="0" xfId="4" applyNumberFormat="1" applyFont="1" applyBorder="1" applyAlignment="1">
      <alignment horizontal="center" vertical="center"/>
    </xf>
    <xf numFmtId="37" fontId="42" fillId="0" borderId="77" xfId="4" applyNumberFormat="1" applyFont="1" applyBorder="1" applyAlignment="1">
      <alignment horizontal="center" vertical="center"/>
    </xf>
    <xf numFmtId="37" fontId="42" fillId="0" borderId="78" xfId="4" applyNumberFormat="1" applyFont="1" applyBorder="1" applyAlignment="1">
      <alignment horizontal="center" vertical="center"/>
    </xf>
    <xf numFmtId="37" fontId="42" fillId="0" borderId="79" xfId="4" applyNumberFormat="1" applyFont="1" applyBorder="1" applyAlignment="1">
      <alignment horizontal="center" vertical="center"/>
    </xf>
    <xf numFmtId="37" fontId="42" fillId="0" borderId="80" xfId="4" applyNumberFormat="1" applyFont="1" applyBorder="1" applyAlignment="1">
      <alignment horizontal="center" vertical="center"/>
    </xf>
    <xf numFmtId="37" fontId="42" fillId="0" borderId="70" xfId="4" applyNumberFormat="1" applyFont="1" applyBorder="1" applyAlignment="1">
      <alignment horizontal="center" vertical="center"/>
    </xf>
    <xf numFmtId="37" fontId="42" fillId="0" borderId="68" xfId="4" applyNumberFormat="1" applyFont="1" applyBorder="1" applyAlignment="1">
      <alignment horizontal="center" vertical="center"/>
    </xf>
    <xf numFmtId="37" fontId="42" fillId="0" borderId="69" xfId="4" applyNumberFormat="1" applyFont="1" applyBorder="1" applyAlignment="1">
      <alignment horizontal="center" vertical="center"/>
    </xf>
    <xf numFmtId="37" fontId="42" fillId="0" borderId="67" xfId="4" applyNumberFormat="1" applyFont="1" applyBorder="1" applyAlignment="1">
      <alignment horizontal="center" vertical="center"/>
    </xf>
    <xf numFmtId="170" fontId="42" fillId="0" borderId="77" xfId="4" applyNumberFormat="1" applyFont="1" applyBorder="1" applyAlignment="1">
      <alignment horizontal="center" vertical="center"/>
    </xf>
    <xf numFmtId="170" fontId="42" fillId="0" borderId="78" xfId="4" applyNumberFormat="1" applyFont="1" applyBorder="1" applyAlignment="1">
      <alignment horizontal="center" vertical="center"/>
    </xf>
    <xf numFmtId="170" fontId="42" fillId="0" borderId="79" xfId="4" applyNumberFormat="1" applyFont="1" applyBorder="1" applyAlignment="1">
      <alignment horizontal="center" vertical="center"/>
    </xf>
    <xf numFmtId="0" fontId="27" fillId="0" borderId="4" xfId="2" applyBorder="1"/>
    <xf numFmtId="0" fontId="42" fillId="0" borderId="82" xfId="4" applyNumberFormat="1" applyFont="1" applyBorder="1" applyAlignment="1">
      <alignment horizontal="centerContinuous" vertical="center"/>
    </xf>
    <xf numFmtId="0" fontId="42" fillId="0" borderId="83" xfId="4" applyNumberFormat="1" applyFont="1" applyBorder="1" applyAlignment="1">
      <alignment horizontal="centerContinuous" vertical="center"/>
    </xf>
    <xf numFmtId="37" fontId="42" fillId="0" borderId="48" xfId="4" applyNumberFormat="1" applyFont="1" applyBorder="1" applyAlignment="1">
      <alignment horizontal="centerContinuous" vertical="center"/>
    </xf>
    <xf numFmtId="37" fontId="42" fillId="0" borderId="37" xfId="4" applyNumberFormat="1" applyFont="1" applyBorder="1" applyAlignment="1">
      <alignment horizontal="centerContinuous" vertical="center"/>
    </xf>
    <xf numFmtId="37" fontId="42" fillId="0" borderId="35" xfId="4" applyNumberFormat="1" applyFont="1" applyBorder="1" applyAlignment="1">
      <alignment horizontal="centerContinuous" vertical="center"/>
    </xf>
    <xf numFmtId="0" fontId="42" fillId="0" borderId="0" xfId="2" applyFont="1"/>
    <xf numFmtId="0" fontId="42" fillId="0" borderId="0" xfId="2" applyFont="1" applyAlignment="1">
      <alignment horizontal="center"/>
    </xf>
    <xf numFmtId="172" fontId="42" fillId="0" borderId="43" xfId="4" applyNumberFormat="1" applyFont="1" applyBorder="1" applyAlignment="1">
      <alignment horizontal="centerContinuous" vertical="center"/>
    </xf>
    <xf numFmtId="172" fontId="42" fillId="0" borderId="84" xfId="4" applyNumberFormat="1" applyFont="1" applyBorder="1" applyAlignment="1">
      <alignment horizontal="centerContinuous" vertical="center"/>
    </xf>
    <xf numFmtId="172" fontId="42" fillId="0" borderId="44" xfId="4" applyNumberFormat="1" applyFont="1" applyBorder="1" applyAlignment="1">
      <alignment horizontal="centerContinuous" vertical="center"/>
    </xf>
    <xf numFmtId="172" fontId="42" fillId="0" borderId="33" xfId="4" applyNumberFormat="1" applyFont="1" applyBorder="1" applyAlignment="1">
      <alignment horizontal="centerContinuous" vertical="center"/>
    </xf>
    <xf numFmtId="172" fontId="42" fillId="0" borderId="80" xfId="4" applyNumberFormat="1" applyFont="1" applyBorder="1" applyAlignment="1">
      <alignment horizontal="centerContinuous" vertical="center"/>
    </xf>
    <xf numFmtId="172" fontId="42" fillId="0" borderId="34" xfId="4" applyNumberFormat="1" applyFont="1" applyBorder="1" applyAlignment="1">
      <alignment horizontal="centerContinuous" vertical="center"/>
    </xf>
    <xf numFmtId="37" fontId="42" fillId="0" borderId="33" xfId="4" applyNumberFormat="1" applyFont="1" applyBorder="1" applyAlignment="1">
      <alignment horizontal="centerContinuous" vertical="center"/>
    </xf>
    <xf numFmtId="37" fontId="42" fillId="0" borderId="80" xfId="4" applyNumberFormat="1" applyFont="1" applyBorder="1" applyAlignment="1">
      <alignment horizontal="centerContinuous" vertical="center"/>
    </xf>
    <xf numFmtId="37" fontId="42" fillId="0" borderId="34" xfId="4" applyNumberFormat="1" applyFont="1" applyBorder="1" applyAlignment="1">
      <alignment horizontal="centerContinuous" vertical="center"/>
    </xf>
    <xf numFmtId="0" fontId="42" fillId="0" borderId="21" xfId="2" applyFont="1" applyBorder="1" applyAlignment="1">
      <alignment horizontal="center"/>
    </xf>
    <xf numFmtId="0" fontId="49" fillId="0" borderId="0" xfId="2" applyFont="1" applyAlignment="1">
      <alignment horizontal="center" vertical="center"/>
    </xf>
    <xf numFmtId="10" fontId="42" fillId="0" borderId="40" xfId="4" applyNumberFormat="1" applyFont="1" applyBorder="1" applyAlignment="1">
      <alignment horizontal="center" vertical="center"/>
    </xf>
    <xf numFmtId="10" fontId="42" fillId="0" borderId="41" xfId="4" applyNumberFormat="1" applyFont="1" applyBorder="1" applyAlignment="1">
      <alignment horizontal="center" vertical="center"/>
    </xf>
    <xf numFmtId="10" fontId="42" fillId="0" borderId="85" xfId="4" applyNumberFormat="1" applyFont="1" applyBorder="1" applyAlignment="1">
      <alignment horizontal="center" vertical="center"/>
    </xf>
    <xf numFmtId="10" fontId="42" fillId="0" borderId="86" xfId="4" applyNumberFormat="1" applyFont="1" applyBorder="1" applyAlignment="1">
      <alignment horizontal="center" vertical="center"/>
    </xf>
    <xf numFmtId="10" fontId="42" fillId="0" borderId="56" xfId="4" applyNumberFormat="1" applyFont="1" applyBorder="1" applyAlignment="1">
      <alignment horizontal="center" vertical="center"/>
    </xf>
    <xf numFmtId="10" fontId="42" fillId="0" borderId="55" xfId="4" applyNumberFormat="1" applyFont="1" applyBorder="1" applyAlignment="1">
      <alignment horizontal="center" vertical="center"/>
    </xf>
    <xf numFmtId="10" fontId="42" fillId="0" borderId="45" xfId="4" applyNumberFormat="1" applyFont="1" applyBorder="1" applyAlignment="1">
      <alignment horizontal="center" vertical="center"/>
    </xf>
    <xf numFmtId="10" fontId="42" fillId="0" borderId="46" xfId="4" applyNumberFormat="1" applyFont="1" applyBorder="1" applyAlignment="1">
      <alignment horizontal="center" vertical="center"/>
    </xf>
    <xf numFmtId="10" fontId="42" fillId="0" borderId="87" xfId="4" applyNumberFormat="1" applyFont="1" applyBorder="1" applyAlignment="1">
      <alignment horizontal="center" vertical="center"/>
    </xf>
    <xf numFmtId="0" fontId="42" fillId="0" borderId="27" xfId="4" applyNumberFormat="1" applyFont="1" applyBorder="1" applyAlignment="1">
      <alignment horizontal="center" vertical="center" wrapText="1"/>
    </xf>
    <xf numFmtId="0" fontId="50" fillId="0" borderId="0" xfId="2" applyFont="1" applyAlignment="1">
      <alignment horizontal="right"/>
    </xf>
    <xf numFmtId="0" fontId="42" fillId="0" borderId="31" xfId="4" applyNumberFormat="1" applyFont="1" applyBorder="1" applyAlignment="1">
      <alignment horizontal="center" vertical="center" wrapText="1"/>
    </xf>
    <xf numFmtId="0" fontId="40" fillId="3" borderId="18" xfId="2" applyFont="1" applyFill="1" applyBorder="1" applyAlignment="1">
      <alignment horizontal="center" vertical="center"/>
    </xf>
    <xf numFmtId="0" fontId="40" fillId="3" borderId="19" xfId="2" applyFont="1" applyFill="1" applyBorder="1" applyAlignment="1">
      <alignment horizontal="center" vertical="center" wrapText="1"/>
    </xf>
    <xf numFmtId="0" fontId="42" fillId="0" borderId="36" xfId="4" applyNumberFormat="1" applyFont="1" applyBorder="1" applyAlignment="1">
      <alignment horizontal="center" vertical="center" wrapText="1"/>
    </xf>
    <xf numFmtId="0" fontId="42" fillId="0" borderId="88" xfId="2" applyFont="1" applyBorder="1" applyAlignment="1">
      <alignment vertical="center"/>
    </xf>
    <xf numFmtId="0" fontId="40" fillId="3" borderId="89" xfId="2" applyFont="1" applyFill="1" applyBorder="1" applyAlignment="1">
      <alignment horizontal="center" vertical="center" wrapText="1"/>
    </xf>
    <xf numFmtId="0" fontId="41" fillId="3" borderId="89" xfId="2" applyFont="1" applyFill="1" applyBorder="1" applyAlignment="1">
      <alignment vertical="center" wrapText="1"/>
    </xf>
    <xf numFmtId="0" fontId="42" fillId="0" borderId="90" xfId="4" applyNumberFormat="1" applyFont="1" applyBorder="1" applyAlignment="1">
      <alignment horizontal="center" vertical="center" wrapText="1"/>
    </xf>
    <xf numFmtId="0" fontId="42" fillId="0" borderId="91" xfId="4" applyNumberFormat="1" applyFont="1" applyBorder="1" applyAlignment="1">
      <alignment horizontal="center" vertical="center" wrapText="1"/>
    </xf>
    <xf numFmtId="0" fontId="40" fillId="3" borderId="22" xfId="2" applyFont="1" applyFill="1" applyBorder="1" applyAlignment="1">
      <alignment horizontal="center" vertical="center"/>
    </xf>
    <xf numFmtId="0" fontId="40" fillId="3" borderId="89" xfId="2" applyFont="1" applyFill="1" applyBorder="1" applyAlignment="1">
      <alignment horizontal="center" vertical="center"/>
    </xf>
    <xf numFmtId="0" fontId="41" fillId="3" borderId="92" xfId="2" applyFont="1" applyFill="1" applyBorder="1" applyAlignment="1">
      <alignment vertical="center" wrapText="1"/>
    </xf>
    <xf numFmtId="0" fontId="40" fillId="3" borderId="93" xfId="2" applyFont="1" applyFill="1" applyBorder="1" applyAlignment="1">
      <alignment horizontal="center" vertical="center"/>
    </xf>
    <xf numFmtId="0" fontId="41" fillId="3" borderId="93" xfId="2" applyFont="1" applyFill="1" applyBorder="1" applyAlignment="1">
      <alignment vertical="center" wrapText="1"/>
    </xf>
    <xf numFmtId="0" fontId="42" fillId="0" borderId="94" xfId="4" applyNumberFormat="1" applyFont="1" applyBorder="1" applyAlignment="1">
      <alignment horizontal="center" vertical="center" wrapText="1"/>
    </xf>
    <xf numFmtId="0" fontId="42" fillId="0" borderId="95" xfId="4" applyNumberFormat="1" applyFont="1" applyBorder="1" applyAlignment="1">
      <alignment horizontal="center" vertical="center" wrapText="1"/>
    </xf>
    <xf numFmtId="0" fontId="42" fillId="0" borderId="96" xfId="4" applyNumberFormat="1" applyFont="1" applyBorder="1" applyAlignment="1">
      <alignment horizontal="center" vertical="center" wrapText="1"/>
    </xf>
    <xf numFmtId="0" fontId="42" fillId="0" borderId="97" xfId="4" applyNumberFormat="1" applyFont="1" applyBorder="1" applyAlignment="1">
      <alignment horizontal="center" vertical="center" wrapText="1"/>
    </xf>
    <xf numFmtId="0" fontId="42" fillId="0" borderId="98" xfId="4" applyNumberFormat="1" applyFont="1" applyBorder="1" applyAlignment="1">
      <alignment horizontal="center" vertical="center" wrapText="1"/>
    </xf>
    <xf numFmtId="0" fontId="42" fillId="0" borderId="99" xfId="4" applyNumberFormat="1" applyFont="1" applyBorder="1" applyAlignment="1">
      <alignment horizontal="center" vertical="center" wrapText="1"/>
    </xf>
    <xf numFmtId="173" fontId="42" fillId="0" borderId="81" xfId="4" applyNumberFormat="1" applyFont="1" applyBorder="1" applyAlignment="1">
      <alignment horizontal="centerContinuous" vertical="center"/>
    </xf>
    <xf numFmtId="0" fontId="48" fillId="0" borderId="100" xfId="2" applyFont="1" applyBorder="1" applyAlignment="1">
      <alignment horizontal="center" vertical="center"/>
    </xf>
    <xf numFmtId="10" fontId="42" fillId="0" borderId="101" xfId="4" applyNumberFormat="1" applyFont="1" applyBorder="1" applyAlignment="1">
      <alignment horizontal="center" vertical="center"/>
    </xf>
    <xf numFmtId="10" fontId="42" fillId="0" borderId="102" xfId="4" applyNumberFormat="1" applyFont="1" applyBorder="1" applyAlignment="1">
      <alignment horizontal="center" vertical="center"/>
    </xf>
    <xf numFmtId="10" fontId="42" fillId="0" borderId="103" xfId="4" applyNumberFormat="1" applyFont="1" applyBorder="1" applyAlignment="1">
      <alignment horizontal="center" vertical="center"/>
    </xf>
    <xf numFmtId="172" fontId="42" fillId="0" borderId="84" xfId="4" applyNumberFormat="1" applyFont="1" applyBorder="1" applyAlignment="1">
      <alignment horizontal="center" vertical="center"/>
    </xf>
    <xf numFmtId="172" fontId="42" fillId="0" borderId="80" xfId="4" applyNumberFormat="1" applyFont="1" applyBorder="1" applyAlignment="1">
      <alignment horizontal="center" vertical="center"/>
    </xf>
    <xf numFmtId="0" fontId="40" fillId="3" borderId="104" xfId="2" applyFont="1" applyFill="1" applyBorder="1" applyAlignment="1">
      <alignment horizontal="center" vertical="center"/>
    </xf>
    <xf numFmtId="0" fontId="51" fillId="0" borderId="0" xfId="0" applyFont="1"/>
    <xf numFmtId="0" fontId="52" fillId="5" borderId="0" xfId="0" applyFont="1" applyFill="1"/>
    <xf numFmtId="0" fontId="5" fillId="5" borderId="0" xfId="0" applyFont="1" applyFill="1" applyAlignment="1">
      <alignment horizontal="right"/>
    </xf>
    <xf numFmtId="0" fontId="1" fillId="0" borderId="105" xfId="0" applyFont="1" applyBorder="1"/>
    <xf numFmtId="0" fontId="1" fillId="6" borderId="106" xfId="0" applyFont="1" applyFill="1" applyBorder="1"/>
    <xf numFmtId="0" fontId="1" fillId="0" borderId="106" xfId="0" applyFont="1" applyBorder="1"/>
    <xf numFmtId="0" fontId="11" fillId="6" borderId="106" xfId="0" applyFont="1" applyFill="1" applyBorder="1"/>
    <xf numFmtId="0" fontId="11" fillId="0" borderId="106" xfId="0" applyFont="1" applyBorder="1"/>
    <xf numFmtId="0" fontId="6" fillId="0" borderId="106" xfId="0" applyFont="1" applyBorder="1"/>
    <xf numFmtId="0" fontId="6" fillId="6" borderId="106" xfId="0" applyFont="1" applyFill="1" applyBorder="1"/>
    <xf numFmtId="0" fontId="53" fillId="0" borderId="107" xfId="0" applyFont="1" applyBorder="1"/>
    <xf numFmtId="166" fontId="1" fillId="6" borderId="108" xfId="0" applyNumberFormat="1" applyFont="1" applyFill="1" applyBorder="1"/>
    <xf numFmtId="166" fontId="1" fillId="0" borderId="108" xfId="0" applyNumberFormat="1" applyFont="1" applyBorder="1"/>
    <xf numFmtId="166" fontId="11" fillId="6" borderId="108" xfId="0" applyNumberFormat="1" applyFont="1" applyFill="1" applyBorder="1"/>
    <xf numFmtId="0" fontId="1" fillId="6" borderId="108" xfId="0" applyFont="1" applyFill="1" applyBorder="1"/>
    <xf numFmtId="0" fontId="1" fillId="0" borderId="108" xfId="0" applyFont="1" applyBorder="1"/>
    <xf numFmtId="166" fontId="6" fillId="6" borderId="108" xfId="0" applyNumberFormat="1" applyFont="1" applyFill="1" applyBorder="1"/>
    <xf numFmtId="166" fontId="1" fillId="0" borderId="109" xfId="0" applyNumberFormat="1" applyFont="1" applyBorder="1"/>
    <xf numFmtId="0" fontId="54" fillId="0" borderId="0" xfId="2" applyFont="1"/>
    <xf numFmtId="0" fontId="5" fillId="5" borderId="108" xfId="0" applyFont="1" applyFill="1" applyBorder="1" applyAlignment="1">
      <alignment horizontal="center"/>
    </xf>
    <xf numFmtId="1" fontId="1" fillId="6" borderId="108" xfId="0" applyNumberFormat="1" applyFont="1" applyFill="1" applyBorder="1"/>
    <xf numFmtId="1" fontId="1" fillId="0" borderId="108" xfId="0" applyNumberFormat="1" applyFont="1" applyBorder="1"/>
    <xf numFmtId="0" fontId="6" fillId="6" borderId="108" xfId="0" applyFont="1" applyFill="1" applyBorder="1"/>
    <xf numFmtId="10" fontId="1" fillId="0" borderId="108" xfId="0" applyNumberFormat="1" applyFont="1" applyBorder="1"/>
    <xf numFmtId="10" fontId="1" fillId="6" borderId="108" xfId="0" applyNumberFormat="1" applyFont="1" applyFill="1" applyBorder="1"/>
    <xf numFmtId="9" fontId="1" fillId="6" borderId="108" xfId="0" applyNumberFormat="1" applyFont="1" applyFill="1" applyBorder="1"/>
    <xf numFmtId="10" fontId="1" fillId="0" borderId="109" xfId="0" applyNumberFormat="1" applyFont="1" applyBorder="1"/>
    <xf numFmtId="0" fontId="5" fillId="5" borderId="108" xfId="0" applyFont="1" applyFill="1" applyBorder="1" applyAlignment="1">
      <alignment horizontal="right"/>
    </xf>
    <xf numFmtId="9" fontId="1" fillId="0" borderId="109" xfId="0" applyNumberFormat="1" applyFont="1" applyBorder="1"/>
  </cellXfs>
  <cellStyles count="5">
    <cellStyle name="Normal" xfId="0" builtinId="0"/>
    <cellStyle name="Normal 2" xfId="2" xr:uid="{86EEEDCD-74B1-4948-80EE-255C5DA98D0E}"/>
    <cellStyle name="Per cent 2" xfId="3" xr:uid="{209C4DAD-D71B-5F4C-85C4-DA7F9A0664E3}"/>
    <cellStyle name="Percent" xfId="1" builtinId="5"/>
    <cellStyle name="Percent 2" xfId="4" xr:uid="{A22E4CD0-B665-4EC3-9B76-9707518680C3}"/>
  </cellStyles>
  <dxfs count="0"/>
  <tableStyles count="0" defaultTableStyle="TableStyleMedium2" defaultPivotStyle="PivotStyleMedium9"/>
  <colors>
    <mruColors>
      <color rgb="FF1F4E78"/>
      <color rgb="FFC7DAFF"/>
      <color rgb="FFB3C9F5"/>
      <color rgb="FF638BDB"/>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sz="1200" b="1"/>
              <a:t>Revenue (₹'cr)</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[2]Graphs!$B$4:$C$4</c:f>
              <c:strCache>
                <c:ptCount val="2"/>
              </c:strCache>
            </c:strRef>
          </c:tx>
          <c:spPr>
            <a:solidFill>
              <a:srgbClr val="1F4E78"/>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Graphs!D3:H3</c:f>
              <c:strCache>
                <c:ptCount val="5"/>
                <c:pt idx="0">
                  <c:v>FY23A</c:v>
                </c:pt>
                <c:pt idx="1">
                  <c:v>FY24A</c:v>
                </c:pt>
                <c:pt idx="2">
                  <c:v>FY25A</c:v>
                </c:pt>
                <c:pt idx="3">
                  <c:v>FY26E</c:v>
                </c:pt>
                <c:pt idx="4">
                  <c:v>FY27E</c:v>
                </c:pt>
              </c:strCache>
            </c:strRef>
          </c:cat>
          <c:val>
            <c:numRef>
              <c:f>Graphs!D4:H4</c:f>
              <c:numCache>
                <c:formatCode>#,##0;\(#,##0\);"-"</c:formatCode>
                <c:ptCount val="5"/>
                <c:pt idx="0">
                  <c:v>20851.91</c:v>
                </c:pt>
                <c:pt idx="1">
                  <c:v>26710.560000000001</c:v>
                </c:pt>
                <c:pt idx="2">
                  <c:v>30475.33</c:v>
                </c:pt>
                <c:pt idx="3">
                  <c:v>37803.279999999999</c:v>
                </c:pt>
                <c:pt idx="4">
                  <c:v>46945.27</c:v>
                </c:pt>
              </c:numCache>
            </c:numRef>
          </c:val>
          <c:extLst>
            <c:ext xmlns:c16="http://schemas.microsoft.com/office/drawing/2014/chart" uri="{C3380CC4-5D6E-409C-BE32-E72D297353CC}">
              <c16:uniqueId val="{00000000-409C-43B2-9188-7FBBAED4D1A6}"/>
            </c:ext>
          </c:extLst>
        </c:ser>
        <c:dLbls>
          <c:dLblPos val="outEnd"/>
          <c:showLegendKey val="0"/>
          <c:showVal val="1"/>
          <c:showCatName val="0"/>
          <c:showSerName val="0"/>
          <c:showPercent val="0"/>
          <c:showBubbleSize val="0"/>
        </c:dLbls>
        <c:gapWidth val="219"/>
        <c:overlap val="-27"/>
        <c:axId val="1486217360"/>
        <c:axId val="1486204880"/>
      </c:barChart>
      <c:catAx>
        <c:axId val="148621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86204880"/>
        <c:crosses val="autoZero"/>
        <c:auto val="1"/>
        <c:lblAlgn val="ctr"/>
        <c:lblOffset val="100"/>
        <c:noMultiLvlLbl val="0"/>
      </c:catAx>
      <c:valAx>
        <c:axId val="1486204880"/>
        <c:scaling>
          <c:orientation val="minMax"/>
        </c:scaling>
        <c:delete val="0"/>
        <c:axPos val="l"/>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86217360"/>
        <c:crosses val="autoZero"/>
        <c:crossBetween val="between"/>
        <c:majorUnit val="100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sz="1200" b="1"/>
              <a:t>EBITDA (</a:t>
            </a:r>
            <a:r>
              <a:rPr lang="en-US" sz="1200" b="1" i="0" u="none" strike="noStrike" kern="1200" spc="0" baseline="0">
                <a:solidFill>
                  <a:sysClr val="windowText" lastClr="000000"/>
                </a:solidFill>
                <a:latin typeface="arial" panose="020B0604020202020204" pitchFamily="34" charset="0"/>
                <a:cs typeface="arial" panose="020B0604020202020204" pitchFamily="34" charset="0"/>
              </a:rPr>
              <a:t>₹'cr</a:t>
            </a:r>
            <a:r>
              <a:rPr lang="en-US" sz="1200" b="1"/>
              <a:t>)</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[2]Graphs!$B$5:$C$5</c:f>
              <c:strCache>
                <c:ptCount val="2"/>
              </c:strCache>
            </c:strRef>
          </c:tx>
          <c:spPr>
            <a:solidFill>
              <a:srgbClr val="1F4E78"/>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Graphs!D3:H3</c:f>
              <c:strCache>
                <c:ptCount val="5"/>
                <c:pt idx="0">
                  <c:v>FY23A</c:v>
                </c:pt>
                <c:pt idx="1">
                  <c:v>FY24A</c:v>
                </c:pt>
                <c:pt idx="2">
                  <c:v>FY25A</c:v>
                </c:pt>
                <c:pt idx="3">
                  <c:v>FY26E</c:v>
                </c:pt>
                <c:pt idx="4">
                  <c:v>FY27E</c:v>
                </c:pt>
              </c:strCache>
            </c:strRef>
          </c:cat>
          <c:val>
            <c:numRef>
              <c:f>Graphs!D5:H5</c:f>
              <c:numCache>
                <c:formatCode>#,##0;\(#,##0\);"-"</c:formatCode>
                <c:ptCount val="5"/>
                <c:pt idx="0">
                  <c:v>10947.13</c:v>
                </c:pt>
                <c:pt idx="1">
                  <c:v>15751.1</c:v>
                </c:pt>
                <c:pt idx="2">
                  <c:v>18140.52</c:v>
                </c:pt>
                <c:pt idx="3">
                  <c:v>22681.96</c:v>
                </c:pt>
                <c:pt idx="4">
                  <c:v>28214.11</c:v>
                </c:pt>
              </c:numCache>
            </c:numRef>
          </c:val>
          <c:extLst>
            <c:ext xmlns:c16="http://schemas.microsoft.com/office/drawing/2014/chart" uri="{C3380CC4-5D6E-409C-BE32-E72D297353CC}">
              <c16:uniqueId val="{00000000-40BC-4BE8-B79E-ADBBA8B292C8}"/>
            </c:ext>
          </c:extLst>
        </c:ser>
        <c:dLbls>
          <c:dLblPos val="outEnd"/>
          <c:showLegendKey val="0"/>
          <c:showVal val="1"/>
          <c:showCatName val="0"/>
          <c:showSerName val="0"/>
          <c:showPercent val="0"/>
          <c:showBubbleSize val="0"/>
        </c:dLbls>
        <c:gapWidth val="219"/>
        <c:overlap val="-27"/>
        <c:axId val="1486217360"/>
        <c:axId val="1486204880"/>
      </c:barChart>
      <c:catAx>
        <c:axId val="148621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86204880"/>
        <c:crosses val="autoZero"/>
        <c:auto val="1"/>
        <c:lblAlgn val="ctr"/>
        <c:lblOffset val="100"/>
        <c:noMultiLvlLbl val="0"/>
      </c:catAx>
      <c:valAx>
        <c:axId val="1486204880"/>
        <c:scaling>
          <c:orientation val="minMax"/>
        </c:scaling>
        <c:delete val="0"/>
        <c:axPos val="l"/>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862173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sz="1200" b="1"/>
              <a:t>Net Profit (</a:t>
            </a:r>
            <a:r>
              <a:rPr lang="en-US" sz="1200" b="1" i="0" u="none" strike="noStrike" kern="1200" spc="0" baseline="0">
                <a:solidFill>
                  <a:sysClr val="windowText" lastClr="000000"/>
                </a:solidFill>
                <a:latin typeface="arial" panose="020B0604020202020204" pitchFamily="34" charset="0"/>
                <a:cs typeface="arial" panose="020B0604020202020204" pitchFamily="34" charset="0"/>
              </a:rPr>
              <a:t>₹'cr</a:t>
            </a:r>
            <a:r>
              <a:rPr lang="en-US" sz="1200" b="1"/>
              <a:t>)</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[2]Graphs!$B$6:$C$6</c:f>
              <c:strCache>
                <c:ptCount val="2"/>
              </c:strCache>
            </c:strRef>
          </c:tx>
          <c:spPr>
            <a:solidFill>
              <a:srgbClr val="1F4E78"/>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Graphs!D3:H3</c:f>
              <c:strCache>
                <c:ptCount val="5"/>
                <c:pt idx="0">
                  <c:v>FY23A</c:v>
                </c:pt>
                <c:pt idx="1">
                  <c:v>FY24A</c:v>
                </c:pt>
                <c:pt idx="2">
                  <c:v>FY25A</c:v>
                </c:pt>
                <c:pt idx="3">
                  <c:v>FY26E</c:v>
                </c:pt>
                <c:pt idx="4">
                  <c:v>FY27E</c:v>
                </c:pt>
              </c:strCache>
            </c:strRef>
          </c:cat>
          <c:val>
            <c:numRef>
              <c:f>Graphs!D6:H6</c:f>
              <c:numCache>
                <c:formatCode>#,##0;\(#,##0\);"-"</c:formatCode>
                <c:ptCount val="5"/>
                <c:pt idx="0">
                  <c:v>5392.75</c:v>
                </c:pt>
                <c:pt idx="1">
                  <c:v>8103.99</c:v>
                </c:pt>
                <c:pt idx="2">
                  <c:v>11061.26</c:v>
                </c:pt>
                <c:pt idx="3">
                  <c:v>13960.68</c:v>
                </c:pt>
                <c:pt idx="4">
                  <c:v>18014.39</c:v>
                </c:pt>
              </c:numCache>
            </c:numRef>
          </c:val>
          <c:extLst>
            <c:ext xmlns:c16="http://schemas.microsoft.com/office/drawing/2014/chart" uri="{C3380CC4-5D6E-409C-BE32-E72D297353CC}">
              <c16:uniqueId val="{00000000-1EE1-449B-AB05-8A3BA39F975A}"/>
            </c:ext>
          </c:extLst>
        </c:ser>
        <c:dLbls>
          <c:dLblPos val="outEnd"/>
          <c:showLegendKey val="0"/>
          <c:showVal val="1"/>
          <c:showCatName val="0"/>
          <c:showSerName val="0"/>
          <c:showPercent val="0"/>
          <c:showBubbleSize val="0"/>
        </c:dLbls>
        <c:gapWidth val="219"/>
        <c:overlap val="-27"/>
        <c:axId val="1486217360"/>
        <c:axId val="1486204880"/>
      </c:barChart>
      <c:catAx>
        <c:axId val="148621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86204880"/>
        <c:crosses val="autoZero"/>
        <c:auto val="1"/>
        <c:lblAlgn val="ctr"/>
        <c:lblOffset val="100"/>
        <c:noMultiLvlLbl val="0"/>
      </c:catAx>
      <c:valAx>
        <c:axId val="1486204880"/>
        <c:scaling>
          <c:orientation val="minMax"/>
        </c:scaling>
        <c:delete val="0"/>
        <c:axPos val="l"/>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86217360"/>
        <c:crosses val="autoZero"/>
        <c:crossBetween val="between"/>
        <c:majorUnit val="50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sz="1200" b="1"/>
              <a:t>Free Cash Flow (</a:t>
            </a:r>
            <a:r>
              <a:rPr lang="en-US" sz="1200" b="1" i="0" u="none" strike="noStrike" kern="1200" spc="0" baseline="0">
                <a:solidFill>
                  <a:sysClr val="windowText" lastClr="000000"/>
                </a:solidFill>
                <a:latin typeface="arial" panose="020B0604020202020204" pitchFamily="34" charset="0"/>
                <a:cs typeface="arial" panose="020B0604020202020204" pitchFamily="34" charset="0"/>
              </a:rPr>
              <a:t>₹'cr</a:t>
            </a:r>
            <a:r>
              <a:rPr lang="en-US" sz="1200" b="1"/>
              <a:t>)</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[2]Graphs!$B$7:$C$7</c:f>
              <c:strCache>
                <c:ptCount val="2"/>
              </c:strCache>
            </c:strRef>
          </c:tx>
          <c:spPr>
            <a:solidFill>
              <a:srgbClr val="1F4E78"/>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Graphs!D3:H3</c:f>
              <c:strCache>
                <c:ptCount val="5"/>
                <c:pt idx="0">
                  <c:v>FY23A</c:v>
                </c:pt>
                <c:pt idx="1">
                  <c:v>FY24A</c:v>
                </c:pt>
                <c:pt idx="2">
                  <c:v>FY25A</c:v>
                </c:pt>
                <c:pt idx="3">
                  <c:v>FY26E</c:v>
                </c:pt>
                <c:pt idx="4">
                  <c:v>FY27E</c:v>
                </c:pt>
              </c:strCache>
            </c:strRef>
          </c:cat>
          <c:val>
            <c:numRef>
              <c:f>Graphs!D7:H7</c:f>
              <c:numCache>
                <c:formatCode>#,##0;\(#,##0\);"-"</c:formatCode>
                <c:ptCount val="5"/>
                <c:pt idx="0">
                  <c:v>3357.4699999999993</c:v>
                </c:pt>
                <c:pt idx="1">
                  <c:v>9637.91</c:v>
                </c:pt>
                <c:pt idx="2">
                  <c:v>8911.3600000000024</c:v>
                </c:pt>
                <c:pt idx="3">
                  <c:v>12985.298003326165</c:v>
                </c:pt>
                <c:pt idx="4">
                  <c:v>16414.469726157709</c:v>
                </c:pt>
              </c:numCache>
            </c:numRef>
          </c:val>
          <c:extLst>
            <c:ext xmlns:c16="http://schemas.microsoft.com/office/drawing/2014/chart" uri="{C3380CC4-5D6E-409C-BE32-E72D297353CC}">
              <c16:uniqueId val="{00000000-EE2C-4E11-85F2-476C7848797C}"/>
            </c:ext>
          </c:extLst>
        </c:ser>
        <c:dLbls>
          <c:dLblPos val="outEnd"/>
          <c:showLegendKey val="0"/>
          <c:showVal val="1"/>
          <c:showCatName val="0"/>
          <c:showSerName val="0"/>
          <c:showPercent val="0"/>
          <c:showBubbleSize val="0"/>
        </c:dLbls>
        <c:gapWidth val="219"/>
        <c:overlap val="-27"/>
        <c:axId val="1486217360"/>
        <c:axId val="1486204880"/>
      </c:barChart>
      <c:catAx>
        <c:axId val="148621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86204880"/>
        <c:crosses val="autoZero"/>
        <c:auto val="1"/>
        <c:lblAlgn val="ctr"/>
        <c:lblOffset val="100"/>
        <c:noMultiLvlLbl val="0"/>
      </c:catAx>
      <c:valAx>
        <c:axId val="1486204880"/>
        <c:scaling>
          <c:orientation val="minMax"/>
        </c:scaling>
        <c:delete val="0"/>
        <c:axPos val="l"/>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86217360"/>
        <c:crosses val="autoZero"/>
        <c:crossBetween val="between"/>
        <c:majorUnit val="50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sz="1200" b="1"/>
              <a:t>Turnover Ratios (x)</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v>GFAT</c:v>
          </c:tx>
          <c:spPr>
            <a:solidFill>
              <a:srgbClr val="1F4E78"/>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Graphs!D3:H3</c:f>
              <c:strCache>
                <c:ptCount val="5"/>
                <c:pt idx="0">
                  <c:v>FY23A</c:v>
                </c:pt>
                <c:pt idx="1">
                  <c:v>FY24A</c:v>
                </c:pt>
                <c:pt idx="2">
                  <c:v>FY25A</c:v>
                </c:pt>
                <c:pt idx="3">
                  <c:v>FY26E</c:v>
                </c:pt>
                <c:pt idx="4">
                  <c:v>FY27E</c:v>
                </c:pt>
              </c:strCache>
            </c:strRef>
          </c:cat>
          <c:val>
            <c:numRef>
              <c:f>Graphs!D10:H10</c:f>
              <c:numCache>
                <c:formatCode>#,##0.0;\(#,##0.0\);"-"</c:formatCode>
                <c:ptCount val="5"/>
                <c:pt idx="0">
                  <c:v>0.5</c:v>
                </c:pt>
                <c:pt idx="1">
                  <c:v>0.3</c:v>
                </c:pt>
                <c:pt idx="2">
                  <c:v>0.3</c:v>
                </c:pt>
                <c:pt idx="3">
                  <c:v>0.4</c:v>
                </c:pt>
                <c:pt idx="4">
                  <c:v>0.4</c:v>
                </c:pt>
              </c:numCache>
            </c:numRef>
          </c:val>
          <c:extLst>
            <c:ext xmlns:c16="http://schemas.microsoft.com/office/drawing/2014/chart" uri="{C3380CC4-5D6E-409C-BE32-E72D297353CC}">
              <c16:uniqueId val="{00000000-5FDA-4B67-839C-7DAA2177693D}"/>
            </c:ext>
          </c:extLst>
        </c:ser>
        <c:ser>
          <c:idx val="1"/>
          <c:order val="1"/>
          <c:tx>
            <c:v>ITR</c:v>
          </c:tx>
          <c:spPr>
            <a:solidFill>
              <a:srgbClr val="4D93D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Graphs!D3:H3</c:f>
              <c:strCache>
                <c:ptCount val="5"/>
                <c:pt idx="0">
                  <c:v>FY23A</c:v>
                </c:pt>
                <c:pt idx="1">
                  <c:v>FY24A</c:v>
                </c:pt>
                <c:pt idx="2">
                  <c:v>FY25A</c:v>
                </c:pt>
                <c:pt idx="3">
                  <c:v>FY26E</c:v>
                </c:pt>
                <c:pt idx="4">
                  <c:v>FY27E</c:v>
                </c:pt>
              </c:strCache>
            </c:strRef>
          </c:cat>
          <c:val>
            <c:numRef>
              <c:f>Graphs!D11:H11</c:f>
              <c:numCache>
                <c:formatCode>#,##0.0;\(#,##0.0\);"-"</c:formatCode>
                <c:ptCount val="5"/>
                <c:pt idx="0">
                  <c:v>13.3</c:v>
                </c:pt>
                <c:pt idx="1">
                  <c:v>16</c:v>
                </c:pt>
                <c:pt idx="2">
                  <c:v>16.8</c:v>
                </c:pt>
                <c:pt idx="3">
                  <c:v>17.399999999999999</c:v>
                </c:pt>
                <c:pt idx="4">
                  <c:v>17.5</c:v>
                </c:pt>
              </c:numCache>
            </c:numRef>
          </c:val>
          <c:extLst>
            <c:ext xmlns:c16="http://schemas.microsoft.com/office/drawing/2014/chart" uri="{C3380CC4-5D6E-409C-BE32-E72D297353CC}">
              <c16:uniqueId val="{00000001-5FDA-4B67-839C-7DAA2177693D}"/>
            </c:ext>
          </c:extLst>
        </c:ser>
        <c:ser>
          <c:idx val="2"/>
          <c:order val="2"/>
          <c:tx>
            <c:v>RTR</c:v>
          </c:tx>
          <c:spPr>
            <a:solidFill>
              <a:srgbClr val="A6C9E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Graphs!D3:H3</c:f>
              <c:strCache>
                <c:ptCount val="5"/>
                <c:pt idx="0">
                  <c:v>FY23A</c:v>
                </c:pt>
                <c:pt idx="1">
                  <c:v>FY24A</c:v>
                </c:pt>
                <c:pt idx="2">
                  <c:v>FY25A</c:v>
                </c:pt>
                <c:pt idx="3">
                  <c:v>FY26E</c:v>
                </c:pt>
                <c:pt idx="4">
                  <c:v>FY27E</c:v>
                </c:pt>
              </c:strCache>
            </c:strRef>
          </c:cat>
          <c:val>
            <c:numRef>
              <c:f>Graphs!D12:H12</c:f>
              <c:numCache>
                <c:formatCode>#,##0.0;\(#,##0.0\);"-"</c:formatCode>
                <c:ptCount val="5"/>
                <c:pt idx="0">
                  <c:v>7.6</c:v>
                </c:pt>
                <c:pt idx="1">
                  <c:v>7.7</c:v>
                </c:pt>
                <c:pt idx="2">
                  <c:v>7.5</c:v>
                </c:pt>
                <c:pt idx="3">
                  <c:v>8</c:v>
                </c:pt>
                <c:pt idx="4">
                  <c:v>8.5</c:v>
                </c:pt>
              </c:numCache>
            </c:numRef>
          </c:val>
          <c:extLst>
            <c:ext xmlns:c16="http://schemas.microsoft.com/office/drawing/2014/chart" uri="{C3380CC4-5D6E-409C-BE32-E72D297353CC}">
              <c16:uniqueId val="{00000002-5FDA-4B67-839C-7DAA2177693D}"/>
            </c:ext>
          </c:extLst>
        </c:ser>
        <c:dLbls>
          <c:dLblPos val="outEnd"/>
          <c:showLegendKey val="0"/>
          <c:showVal val="1"/>
          <c:showCatName val="0"/>
          <c:showSerName val="0"/>
          <c:showPercent val="0"/>
          <c:showBubbleSize val="0"/>
        </c:dLbls>
        <c:gapWidth val="219"/>
        <c:overlap val="-27"/>
        <c:axId val="1486217360"/>
        <c:axId val="1486204880"/>
      </c:barChart>
      <c:catAx>
        <c:axId val="148621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86204880"/>
        <c:crosses val="autoZero"/>
        <c:auto val="1"/>
        <c:lblAlgn val="ctr"/>
        <c:lblOffset val="100"/>
        <c:noMultiLvlLbl val="0"/>
      </c:catAx>
      <c:valAx>
        <c:axId val="1486204880"/>
        <c:scaling>
          <c:orientation val="minMax"/>
        </c:scaling>
        <c:delete val="0"/>
        <c:axPos val="l"/>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86217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sz="1200" b="1"/>
              <a:t>Profit Margin</a:t>
            </a:r>
            <a:r>
              <a:rPr lang="en-US" sz="1200" b="1" baseline="0"/>
              <a:t> Ratios</a:t>
            </a:r>
            <a:r>
              <a:rPr lang="en-US" sz="1200" b="1"/>
              <a:t> (%)</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tx>
            <c:v>EBITDA Margin</c:v>
          </c:tx>
          <c:spPr>
            <a:ln w="28575" cap="rnd">
              <a:solidFill>
                <a:srgbClr val="1F4E78"/>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Graphs!D3:H3</c:f>
              <c:strCache>
                <c:ptCount val="5"/>
                <c:pt idx="0">
                  <c:v>FY23A</c:v>
                </c:pt>
                <c:pt idx="1">
                  <c:v>FY24A</c:v>
                </c:pt>
                <c:pt idx="2">
                  <c:v>FY25A</c:v>
                </c:pt>
                <c:pt idx="3">
                  <c:v>FY26E</c:v>
                </c:pt>
                <c:pt idx="4">
                  <c:v>FY27E</c:v>
                </c:pt>
              </c:strCache>
            </c:strRef>
          </c:cat>
          <c:val>
            <c:numRef>
              <c:f>Graphs!D14:H14</c:f>
              <c:numCache>
                <c:formatCode>0.0%</c:formatCode>
                <c:ptCount val="5"/>
                <c:pt idx="0">
                  <c:v>0.52500000000000002</c:v>
                </c:pt>
                <c:pt idx="1">
                  <c:v>0.59</c:v>
                </c:pt>
                <c:pt idx="2">
                  <c:v>0.59499999999999997</c:v>
                </c:pt>
                <c:pt idx="3">
                  <c:v>0.6</c:v>
                </c:pt>
                <c:pt idx="4">
                  <c:v>0.60099999999999998</c:v>
                </c:pt>
              </c:numCache>
            </c:numRef>
          </c:val>
          <c:smooth val="0"/>
          <c:extLst>
            <c:ext xmlns:c16="http://schemas.microsoft.com/office/drawing/2014/chart" uri="{C3380CC4-5D6E-409C-BE32-E72D297353CC}">
              <c16:uniqueId val="{00000000-CBA4-4E1F-BBEF-0AD9EABC0508}"/>
            </c:ext>
          </c:extLst>
        </c:ser>
        <c:ser>
          <c:idx val="1"/>
          <c:order val="1"/>
          <c:tx>
            <c:v>Net Profit Margin</c:v>
          </c:tx>
          <c:spPr>
            <a:ln w="28575" cap="rnd">
              <a:solidFill>
                <a:srgbClr val="4D93D9"/>
              </a:solidFill>
              <a:prstDash val="solid"/>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Graphs!D3:H3</c:f>
              <c:strCache>
                <c:ptCount val="5"/>
                <c:pt idx="0">
                  <c:v>FY23A</c:v>
                </c:pt>
                <c:pt idx="1">
                  <c:v>FY24A</c:v>
                </c:pt>
                <c:pt idx="2">
                  <c:v>FY25A</c:v>
                </c:pt>
                <c:pt idx="3">
                  <c:v>FY26E</c:v>
                </c:pt>
                <c:pt idx="4">
                  <c:v>FY27E</c:v>
                </c:pt>
              </c:strCache>
            </c:strRef>
          </c:cat>
          <c:val>
            <c:numRef>
              <c:f>Graphs!D15:H15</c:f>
              <c:numCache>
                <c:formatCode>0.0%</c:formatCode>
                <c:ptCount val="5"/>
                <c:pt idx="0">
                  <c:v>0.25900000000000001</c:v>
                </c:pt>
                <c:pt idx="1">
                  <c:v>0.30299999999999999</c:v>
                </c:pt>
                <c:pt idx="2">
                  <c:v>0.36299999999999999</c:v>
                </c:pt>
                <c:pt idx="3">
                  <c:v>0.36899999999999999</c:v>
                </c:pt>
                <c:pt idx="4">
                  <c:v>0.38400000000000001</c:v>
                </c:pt>
              </c:numCache>
            </c:numRef>
          </c:val>
          <c:smooth val="0"/>
          <c:extLst>
            <c:ext xmlns:c16="http://schemas.microsoft.com/office/drawing/2014/chart" uri="{C3380CC4-5D6E-409C-BE32-E72D297353CC}">
              <c16:uniqueId val="{00000002-CBA4-4E1F-BBEF-0AD9EABC0508}"/>
            </c:ext>
          </c:extLst>
        </c:ser>
        <c:dLbls>
          <c:showLegendKey val="0"/>
          <c:showVal val="1"/>
          <c:showCatName val="0"/>
          <c:showSerName val="0"/>
          <c:showPercent val="0"/>
          <c:showBubbleSize val="0"/>
        </c:dLbls>
        <c:smooth val="0"/>
        <c:axId val="1486217360"/>
        <c:axId val="1486204880"/>
      </c:lineChart>
      <c:catAx>
        <c:axId val="148621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86204880"/>
        <c:crosses val="autoZero"/>
        <c:auto val="1"/>
        <c:lblAlgn val="ctr"/>
        <c:lblOffset val="100"/>
        <c:noMultiLvlLbl val="0"/>
      </c:catAx>
      <c:valAx>
        <c:axId val="148620488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86217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sz="1200" b="1"/>
              <a:t>Return Ratios (%)</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tx>
            <c:v>RoCE</c:v>
          </c:tx>
          <c:spPr>
            <a:ln w="28575" cap="rnd">
              <a:solidFill>
                <a:srgbClr val="1F4E78"/>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Graphs!D3:H3</c:f>
              <c:strCache>
                <c:ptCount val="5"/>
                <c:pt idx="0">
                  <c:v>FY23A</c:v>
                </c:pt>
                <c:pt idx="1">
                  <c:v>FY24A</c:v>
                </c:pt>
                <c:pt idx="2">
                  <c:v>FY25A</c:v>
                </c:pt>
                <c:pt idx="3">
                  <c:v>FY26E</c:v>
                </c:pt>
                <c:pt idx="4">
                  <c:v>FY27E</c:v>
                </c:pt>
              </c:strCache>
            </c:strRef>
          </c:cat>
          <c:val>
            <c:numRef>
              <c:f>Graphs!D23:H23</c:f>
              <c:numCache>
                <c:formatCode>0.0%</c:formatCode>
                <c:ptCount val="5"/>
                <c:pt idx="0">
                  <c:v>8.2000000000000003E-2</c:v>
                </c:pt>
                <c:pt idx="1">
                  <c:v>0.12</c:v>
                </c:pt>
                <c:pt idx="2">
                  <c:v>0.13</c:v>
                </c:pt>
                <c:pt idx="3">
                  <c:v>0.155</c:v>
                </c:pt>
                <c:pt idx="4">
                  <c:v>0.17699999999999999</c:v>
                </c:pt>
              </c:numCache>
            </c:numRef>
          </c:val>
          <c:smooth val="0"/>
          <c:extLst>
            <c:ext xmlns:c16="http://schemas.microsoft.com/office/drawing/2014/chart" uri="{C3380CC4-5D6E-409C-BE32-E72D297353CC}">
              <c16:uniqueId val="{00000001-B03C-42CD-9FD3-A2C319077949}"/>
            </c:ext>
          </c:extLst>
        </c:ser>
        <c:ser>
          <c:idx val="1"/>
          <c:order val="1"/>
          <c:tx>
            <c:v>RoE</c:v>
          </c:tx>
          <c:spPr>
            <a:ln w="28575" cap="rnd">
              <a:solidFill>
                <a:srgbClr val="4D93D9"/>
              </a:solidFill>
              <a:prstDash val="solid"/>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Graphs!D3:H3</c:f>
              <c:strCache>
                <c:ptCount val="5"/>
                <c:pt idx="0">
                  <c:v>FY23A</c:v>
                </c:pt>
                <c:pt idx="1">
                  <c:v>FY24A</c:v>
                </c:pt>
                <c:pt idx="2">
                  <c:v>FY25A</c:v>
                </c:pt>
                <c:pt idx="3">
                  <c:v>FY26E</c:v>
                </c:pt>
                <c:pt idx="4">
                  <c:v>FY27E</c:v>
                </c:pt>
              </c:strCache>
            </c:strRef>
          </c:cat>
          <c:val>
            <c:numRef>
              <c:f>Graphs!D24:H24</c:f>
              <c:numCache>
                <c:formatCode>0.0%</c:formatCode>
                <c:ptCount val="5"/>
                <c:pt idx="0">
                  <c:v>0.121</c:v>
                </c:pt>
                <c:pt idx="1">
                  <c:v>0.16500000000000001</c:v>
                </c:pt>
                <c:pt idx="2">
                  <c:v>0.192</c:v>
                </c:pt>
                <c:pt idx="3">
                  <c:v>0.22900000000000001</c:v>
                </c:pt>
                <c:pt idx="4">
                  <c:v>0.26600000000000001</c:v>
                </c:pt>
              </c:numCache>
            </c:numRef>
          </c:val>
          <c:smooth val="0"/>
          <c:extLst>
            <c:ext xmlns:c16="http://schemas.microsoft.com/office/drawing/2014/chart" uri="{C3380CC4-5D6E-409C-BE32-E72D297353CC}">
              <c16:uniqueId val="{00000003-B03C-42CD-9FD3-A2C319077949}"/>
            </c:ext>
          </c:extLst>
        </c:ser>
        <c:dLbls>
          <c:showLegendKey val="0"/>
          <c:showVal val="1"/>
          <c:showCatName val="0"/>
          <c:showSerName val="0"/>
          <c:showPercent val="0"/>
          <c:showBubbleSize val="0"/>
        </c:dLbls>
        <c:smooth val="0"/>
        <c:axId val="1486217360"/>
        <c:axId val="1486204880"/>
      </c:lineChart>
      <c:catAx>
        <c:axId val="148621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86204880"/>
        <c:crosses val="autoZero"/>
        <c:auto val="1"/>
        <c:lblAlgn val="ctr"/>
        <c:lblOffset val="100"/>
        <c:noMultiLvlLbl val="0"/>
      </c:catAx>
      <c:valAx>
        <c:axId val="148620488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86217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b" anchorCtr="0"/>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sz="1200" b="1"/>
              <a:t>Dividend Payout</a:t>
            </a:r>
            <a:r>
              <a:rPr lang="en-US" sz="1200" b="1" baseline="0"/>
              <a:t> and Yield</a:t>
            </a:r>
            <a:r>
              <a:rPr lang="en-US" sz="1200" b="1"/>
              <a:t> (%)</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v>Dividend Payout</c:v>
          </c:tx>
          <c:spPr>
            <a:solidFill>
              <a:srgbClr val="1F4E78"/>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Graphs!D3:H3</c:f>
              <c:strCache>
                <c:ptCount val="5"/>
                <c:pt idx="0">
                  <c:v>FY23A</c:v>
                </c:pt>
                <c:pt idx="1">
                  <c:v>FY24A</c:v>
                </c:pt>
                <c:pt idx="2">
                  <c:v>FY25A</c:v>
                </c:pt>
                <c:pt idx="3">
                  <c:v>FY26E</c:v>
                </c:pt>
                <c:pt idx="4">
                  <c:v>FY27E</c:v>
                </c:pt>
              </c:strCache>
            </c:strRef>
          </c:cat>
          <c:val>
            <c:numRef>
              <c:f>Graphs!D34:H34</c:f>
              <c:numCache>
                <c:formatCode>0.0%</c:formatCode>
                <c:ptCount val="5"/>
                <c:pt idx="0">
                  <c:v>0.20300000000000001</c:v>
                </c:pt>
                <c:pt idx="1">
                  <c:v>0.16</c:v>
                </c:pt>
                <c:pt idx="2">
                  <c:v>0.14000000000000001</c:v>
                </c:pt>
                <c:pt idx="3">
                  <c:v>0.15</c:v>
                </c:pt>
                <c:pt idx="4">
                  <c:v>0.155</c:v>
                </c:pt>
              </c:numCache>
            </c:numRef>
          </c:val>
          <c:extLst>
            <c:ext xmlns:c16="http://schemas.microsoft.com/office/drawing/2014/chart" uri="{C3380CC4-5D6E-409C-BE32-E72D297353CC}">
              <c16:uniqueId val="{00000000-D268-4FA2-BB27-C6252210D8AC}"/>
            </c:ext>
          </c:extLst>
        </c:ser>
        <c:dLbls>
          <c:showLegendKey val="0"/>
          <c:showVal val="1"/>
          <c:showCatName val="0"/>
          <c:showSerName val="0"/>
          <c:showPercent val="0"/>
          <c:showBubbleSize val="0"/>
        </c:dLbls>
        <c:gapWidth val="150"/>
        <c:axId val="1486217360"/>
        <c:axId val="1486204880"/>
      </c:barChart>
      <c:lineChart>
        <c:grouping val="standard"/>
        <c:varyColors val="0"/>
        <c:ser>
          <c:idx val="1"/>
          <c:order val="1"/>
          <c:tx>
            <c:v>Dividend Yield</c:v>
          </c:tx>
          <c:spPr>
            <a:ln w="28575" cap="rnd">
              <a:solidFill>
                <a:srgbClr val="4D93D9"/>
              </a:solidFill>
              <a:prstDash val="solid"/>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Graphs!D3:H3</c:f>
              <c:strCache>
                <c:ptCount val="5"/>
                <c:pt idx="0">
                  <c:v>FY23A</c:v>
                </c:pt>
                <c:pt idx="1">
                  <c:v>FY24A</c:v>
                </c:pt>
                <c:pt idx="2">
                  <c:v>FY25A</c:v>
                </c:pt>
                <c:pt idx="3">
                  <c:v>FY26E</c:v>
                </c:pt>
                <c:pt idx="4">
                  <c:v>FY27E</c:v>
                </c:pt>
              </c:strCache>
            </c:strRef>
          </c:cat>
          <c:val>
            <c:numRef>
              <c:f>Graphs!D35:H35</c:f>
              <c:numCache>
                <c:formatCode>0.00%</c:formatCode>
                <c:ptCount val="5"/>
                <c:pt idx="0">
                  <c:v>7.9000000000000008E-3</c:v>
                </c:pt>
                <c:pt idx="1">
                  <c:v>4.4000000000000003E-3</c:v>
                </c:pt>
                <c:pt idx="2">
                  <c:v>6.1000000000000004E-3</c:v>
                </c:pt>
                <c:pt idx="3">
                  <c:v>5.5999999999999999E-3</c:v>
                </c:pt>
                <c:pt idx="4">
                  <c:v>5.7000000000000002E-3</c:v>
                </c:pt>
              </c:numCache>
            </c:numRef>
          </c:val>
          <c:smooth val="0"/>
          <c:extLst>
            <c:ext xmlns:c16="http://schemas.microsoft.com/office/drawing/2014/chart" uri="{C3380CC4-5D6E-409C-BE32-E72D297353CC}">
              <c16:uniqueId val="{00000002-D268-4FA2-BB27-C6252210D8AC}"/>
            </c:ext>
          </c:extLst>
        </c:ser>
        <c:dLbls>
          <c:showLegendKey val="0"/>
          <c:showVal val="0"/>
          <c:showCatName val="0"/>
          <c:showSerName val="0"/>
          <c:showPercent val="0"/>
          <c:showBubbleSize val="0"/>
        </c:dLbls>
        <c:marker val="1"/>
        <c:smooth val="0"/>
        <c:axId val="1821408720"/>
        <c:axId val="1821407280"/>
      </c:lineChart>
      <c:catAx>
        <c:axId val="148621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86204880"/>
        <c:crosses val="autoZero"/>
        <c:auto val="1"/>
        <c:lblAlgn val="ctr"/>
        <c:lblOffset val="100"/>
        <c:noMultiLvlLbl val="0"/>
      </c:catAx>
      <c:valAx>
        <c:axId val="148620488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86217360"/>
        <c:crosses val="autoZero"/>
        <c:crossBetween val="between"/>
      </c:valAx>
      <c:valAx>
        <c:axId val="182140728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21408720"/>
        <c:crosses val="max"/>
        <c:crossBetween val="between"/>
        <c:majorUnit val="2E-3"/>
      </c:valAx>
      <c:catAx>
        <c:axId val="1821408720"/>
        <c:scaling>
          <c:orientation val="minMax"/>
        </c:scaling>
        <c:delete val="1"/>
        <c:axPos val="b"/>
        <c:numFmt formatCode="General" sourceLinked="1"/>
        <c:majorTickMark val="out"/>
        <c:minorTickMark val="none"/>
        <c:tickLblPos val="nextTo"/>
        <c:crossAx val="182140728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sz="1200" b="1"/>
              <a:t>EV Multiples (x)</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tx>
            <c:v>EV/EBITDA (x)</c:v>
          </c:tx>
          <c:spPr>
            <a:ln w="28575" cap="rnd">
              <a:solidFill>
                <a:srgbClr val="1F4E78"/>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Graphs!D3:H3</c:f>
              <c:strCache>
                <c:ptCount val="5"/>
                <c:pt idx="0">
                  <c:v>FY23A</c:v>
                </c:pt>
                <c:pt idx="1">
                  <c:v>FY24A</c:v>
                </c:pt>
                <c:pt idx="2">
                  <c:v>FY25A</c:v>
                </c:pt>
                <c:pt idx="3">
                  <c:v>FY26E</c:v>
                </c:pt>
                <c:pt idx="4">
                  <c:v>FY27E</c:v>
                </c:pt>
              </c:strCache>
            </c:strRef>
          </c:cat>
          <c:val>
            <c:numRef>
              <c:f>Graphs!D31:H31</c:f>
              <c:numCache>
                <c:formatCode>#,##0.0;\(#,##0.0\);"-"</c:formatCode>
                <c:ptCount val="5"/>
                <c:pt idx="0">
                  <c:v>16.600000000000001</c:v>
                </c:pt>
                <c:pt idx="1">
                  <c:v>21.3</c:v>
                </c:pt>
                <c:pt idx="2">
                  <c:v>16.100000000000001</c:v>
                </c:pt>
                <c:pt idx="3">
                  <c:v>18.3</c:v>
                </c:pt>
                <c:pt idx="4">
                  <c:v>18.5</c:v>
                </c:pt>
              </c:numCache>
            </c:numRef>
          </c:val>
          <c:smooth val="0"/>
          <c:extLst>
            <c:ext xmlns:c16="http://schemas.microsoft.com/office/drawing/2014/chart" uri="{C3380CC4-5D6E-409C-BE32-E72D297353CC}">
              <c16:uniqueId val="{00000000-7E94-4798-B88E-C38889782A89}"/>
            </c:ext>
          </c:extLst>
        </c:ser>
        <c:ser>
          <c:idx val="1"/>
          <c:order val="1"/>
          <c:tx>
            <c:v>EV/Sales (x)</c:v>
          </c:tx>
          <c:spPr>
            <a:ln w="28575" cap="rnd">
              <a:solidFill>
                <a:srgbClr val="4D93D9"/>
              </a:solidFill>
              <a:prstDash val="solid"/>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Graphs!D3:H3</c:f>
              <c:strCache>
                <c:ptCount val="5"/>
                <c:pt idx="0">
                  <c:v>FY23A</c:v>
                </c:pt>
                <c:pt idx="1">
                  <c:v>FY24A</c:v>
                </c:pt>
                <c:pt idx="2">
                  <c:v>FY25A</c:v>
                </c:pt>
                <c:pt idx="3">
                  <c:v>FY26E</c:v>
                </c:pt>
                <c:pt idx="4">
                  <c:v>FY27E</c:v>
                </c:pt>
              </c:strCache>
            </c:strRef>
          </c:cat>
          <c:val>
            <c:numRef>
              <c:f>Graphs!D32:H32</c:f>
              <c:numCache>
                <c:formatCode>#,##0.0;\(#,##0.0\);"-"</c:formatCode>
                <c:ptCount val="5"/>
                <c:pt idx="0">
                  <c:v>8.6999999999999993</c:v>
                </c:pt>
                <c:pt idx="1">
                  <c:v>12.6</c:v>
                </c:pt>
                <c:pt idx="2">
                  <c:v>9.6</c:v>
                </c:pt>
                <c:pt idx="3">
                  <c:v>11</c:v>
                </c:pt>
                <c:pt idx="4">
                  <c:v>11.1</c:v>
                </c:pt>
              </c:numCache>
            </c:numRef>
          </c:val>
          <c:smooth val="0"/>
          <c:extLst>
            <c:ext xmlns:c16="http://schemas.microsoft.com/office/drawing/2014/chart" uri="{C3380CC4-5D6E-409C-BE32-E72D297353CC}">
              <c16:uniqueId val="{00000001-7E94-4798-B88E-C38889782A89}"/>
            </c:ext>
          </c:extLst>
        </c:ser>
        <c:dLbls>
          <c:showLegendKey val="0"/>
          <c:showVal val="1"/>
          <c:showCatName val="0"/>
          <c:showSerName val="0"/>
          <c:showPercent val="0"/>
          <c:showBubbleSize val="0"/>
        </c:dLbls>
        <c:smooth val="0"/>
        <c:axId val="1486217360"/>
        <c:axId val="1486204880"/>
      </c:lineChart>
      <c:catAx>
        <c:axId val="148621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86204880"/>
        <c:crosses val="autoZero"/>
        <c:auto val="1"/>
        <c:lblAlgn val="ctr"/>
        <c:lblOffset val="100"/>
        <c:noMultiLvlLbl val="0"/>
      </c:catAx>
      <c:valAx>
        <c:axId val="1486204880"/>
        <c:scaling>
          <c:orientation val="minMax"/>
        </c:scaling>
        <c:delete val="0"/>
        <c:axPos val="l"/>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86217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sz="1200" b="1"/>
              <a:t>Price Multiples (x)</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tx>
            <c:v>P/E (x)</c:v>
          </c:tx>
          <c:spPr>
            <a:ln w="28575" cap="rnd">
              <a:solidFill>
                <a:srgbClr val="1F4E78"/>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Graphs!D3:H3</c:f>
              <c:strCache>
                <c:ptCount val="5"/>
                <c:pt idx="0">
                  <c:v>FY23A</c:v>
                </c:pt>
                <c:pt idx="1">
                  <c:v>FY24A</c:v>
                </c:pt>
                <c:pt idx="2">
                  <c:v>FY25A</c:v>
                </c:pt>
                <c:pt idx="3">
                  <c:v>FY26E</c:v>
                </c:pt>
                <c:pt idx="4">
                  <c:v>FY27E</c:v>
                </c:pt>
              </c:strCache>
            </c:strRef>
          </c:cat>
          <c:val>
            <c:numRef>
              <c:f>Graphs!D28:H28</c:f>
              <c:numCache>
                <c:formatCode>#,##0.0;\(#,##0.0\);"-"</c:formatCode>
                <c:ptCount val="5"/>
                <c:pt idx="0">
                  <c:v>25.7</c:v>
                </c:pt>
                <c:pt idx="1">
                  <c:v>36.6</c:v>
                </c:pt>
                <c:pt idx="2">
                  <c:v>22.9</c:v>
                </c:pt>
                <c:pt idx="3">
                  <c:v>26.9</c:v>
                </c:pt>
                <c:pt idx="4">
                  <c:v>26.9</c:v>
                </c:pt>
              </c:numCache>
            </c:numRef>
          </c:val>
          <c:smooth val="0"/>
          <c:extLst>
            <c:ext xmlns:c16="http://schemas.microsoft.com/office/drawing/2014/chart" uri="{C3380CC4-5D6E-409C-BE32-E72D297353CC}">
              <c16:uniqueId val="{00000000-B2D1-4ADF-B6C4-74FE044CC67A}"/>
            </c:ext>
          </c:extLst>
        </c:ser>
        <c:ser>
          <c:idx val="1"/>
          <c:order val="1"/>
          <c:tx>
            <c:v>P/B (x)</c:v>
          </c:tx>
          <c:spPr>
            <a:ln w="28575" cap="rnd">
              <a:solidFill>
                <a:srgbClr val="4D93D9"/>
              </a:solidFill>
              <a:prstDash val="solid"/>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Graphs!D3:H3</c:f>
              <c:strCache>
                <c:ptCount val="5"/>
                <c:pt idx="0">
                  <c:v>FY23A</c:v>
                </c:pt>
                <c:pt idx="1">
                  <c:v>FY24A</c:v>
                </c:pt>
                <c:pt idx="2">
                  <c:v>FY25A</c:v>
                </c:pt>
                <c:pt idx="3">
                  <c:v>FY26E</c:v>
                </c:pt>
                <c:pt idx="4">
                  <c:v>FY27E</c:v>
                </c:pt>
              </c:strCache>
            </c:strRef>
          </c:cat>
          <c:val>
            <c:numRef>
              <c:f>Graphs!D29:H29</c:f>
              <c:numCache>
                <c:formatCode>General</c:formatCode>
                <c:ptCount val="5"/>
                <c:pt idx="0">
                  <c:v>3</c:v>
                </c:pt>
                <c:pt idx="1">
                  <c:v>5.6</c:v>
                </c:pt>
                <c:pt idx="2">
                  <c:v>4.0999999999999996</c:v>
                </c:pt>
                <c:pt idx="3">
                  <c:v>6.3</c:v>
                </c:pt>
                <c:pt idx="4">
                  <c:v>6.4</c:v>
                </c:pt>
              </c:numCache>
            </c:numRef>
          </c:val>
          <c:smooth val="0"/>
          <c:extLst>
            <c:ext xmlns:c16="http://schemas.microsoft.com/office/drawing/2014/chart" uri="{C3380CC4-5D6E-409C-BE32-E72D297353CC}">
              <c16:uniqueId val="{00000001-B2D1-4ADF-B6C4-74FE044CC67A}"/>
            </c:ext>
          </c:extLst>
        </c:ser>
        <c:dLbls>
          <c:showLegendKey val="0"/>
          <c:showVal val="1"/>
          <c:showCatName val="0"/>
          <c:showSerName val="0"/>
          <c:showPercent val="0"/>
          <c:showBubbleSize val="0"/>
        </c:dLbls>
        <c:smooth val="0"/>
        <c:axId val="1486217360"/>
        <c:axId val="1486204880"/>
      </c:lineChart>
      <c:catAx>
        <c:axId val="148621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86204880"/>
        <c:crosses val="autoZero"/>
        <c:auto val="1"/>
        <c:lblAlgn val="ctr"/>
        <c:lblOffset val="100"/>
        <c:noMultiLvlLbl val="0"/>
      </c:catAx>
      <c:valAx>
        <c:axId val="1486204880"/>
        <c:scaling>
          <c:orientation val="minMax"/>
        </c:scaling>
        <c:delete val="0"/>
        <c:axPos val="l"/>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86217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arial" panose="020B0604020202020204" pitchFamily="34" charset="0"/>
              </a:defRPr>
            </a:pPr>
            <a:r>
              <a:rPr lang="en-GB" sz="1200" b="1"/>
              <a:t>Trade Receivables &amp; DSO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v>Trade Receivables</c:v>
          </c:tx>
          <c:spPr>
            <a:solidFill>
              <a:srgbClr val="1F4E78"/>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Graphs!C3:H3</c:f>
              <c:strCache>
                <c:ptCount val="5"/>
                <c:pt idx="0">
                  <c:v>FY23A</c:v>
                </c:pt>
                <c:pt idx="1">
                  <c:v>FY24A</c:v>
                </c:pt>
                <c:pt idx="2">
                  <c:v>FY25A</c:v>
                </c:pt>
                <c:pt idx="3">
                  <c:v>FY26E</c:v>
                </c:pt>
                <c:pt idx="4">
                  <c:v>FY27E</c:v>
                </c:pt>
              </c:strCache>
            </c:strRef>
          </c:cat>
          <c:val>
            <c:numRef>
              <c:f>Graphs!C16:H16</c:f>
              <c:numCache>
                <c:formatCode>#,##0;\(#,##0\);"-"</c:formatCode>
                <c:ptCount val="5"/>
                <c:pt idx="0">
                  <c:v>3241.67</c:v>
                </c:pt>
                <c:pt idx="1">
                  <c:v>3666.94</c:v>
                </c:pt>
                <c:pt idx="2">
                  <c:v>4432.3599999999997</c:v>
                </c:pt>
                <c:pt idx="3">
                  <c:v>4971.3900000000003</c:v>
                </c:pt>
                <c:pt idx="4">
                  <c:v>6045.01</c:v>
                </c:pt>
              </c:numCache>
            </c:numRef>
          </c:val>
          <c:extLst>
            <c:ext xmlns:c16="http://schemas.microsoft.com/office/drawing/2014/chart" uri="{C3380CC4-5D6E-409C-BE32-E72D297353CC}">
              <c16:uniqueId val="{00000000-1592-42E4-B787-FECAA97A6B9B}"/>
            </c:ext>
          </c:extLst>
        </c:ser>
        <c:dLbls>
          <c:showLegendKey val="0"/>
          <c:showVal val="1"/>
          <c:showCatName val="0"/>
          <c:showSerName val="0"/>
          <c:showPercent val="0"/>
          <c:showBubbleSize val="0"/>
        </c:dLbls>
        <c:gapWidth val="150"/>
        <c:axId val="2043632624"/>
        <c:axId val="1722322544"/>
      </c:barChart>
      <c:lineChart>
        <c:grouping val="standard"/>
        <c:varyColors val="0"/>
        <c:ser>
          <c:idx val="1"/>
          <c:order val="1"/>
          <c:tx>
            <c:v>DSO</c:v>
          </c:tx>
          <c:spPr>
            <a:ln w="28575" cap="rnd">
              <a:solidFill>
                <a:srgbClr val="4D93D9"/>
              </a:solidFill>
              <a:prstDash val="solid"/>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Graphs!C3:H3</c:f>
              <c:strCache>
                <c:ptCount val="5"/>
                <c:pt idx="0">
                  <c:v>FY23A</c:v>
                </c:pt>
                <c:pt idx="1">
                  <c:v>FY24A</c:v>
                </c:pt>
                <c:pt idx="2">
                  <c:v>FY25A</c:v>
                </c:pt>
                <c:pt idx="3">
                  <c:v>FY26E</c:v>
                </c:pt>
                <c:pt idx="4">
                  <c:v>FY27E</c:v>
                </c:pt>
              </c:strCache>
            </c:strRef>
          </c:cat>
          <c:val>
            <c:numRef>
              <c:f>Graphs!C17:H17</c:f>
              <c:numCache>
                <c:formatCode>#,##0;\(#,##0\);"-"</c:formatCode>
                <c:ptCount val="5"/>
                <c:pt idx="0">
                  <c:v>48</c:v>
                </c:pt>
                <c:pt idx="1">
                  <c:v>47</c:v>
                </c:pt>
                <c:pt idx="2">
                  <c:v>49</c:v>
                </c:pt>
                <c:pt idx="3">
                  <c:v>48</c:v>
                </c:pt>
                <c:pt idx="4">
                  <c:v>47</c:v>
                </c:pt>
              </c:numCache>
            </c:numRef>
          </c:val>
          <c:smooth val="0"/>
          <c:extLst>
            <c:ext xmlns:c16="http://schemas.microsoft.com/office/drawing/2014/chart" uri="{C3380CC4-5D6E-409C-BE32-E72D297353CC}">
              <c16:uniqueId val="{00000003-1592-42E4-B787-FECAA97A6B9B}"/>
            </c:ext>
          </c:extLst>
        </c:ser>
        <c:dLbls>
          <c:showLegendKey val="0"/>
          <c:showVal val="1"/>
          <c:showCatName val="0"/>
          <c:showSerName val="0"/>
          <c:showPercent val="0"/>
          <c:showBubbleSize val="0"/>
        </c:dLbls>
        <c:marker val="1"/>
        <c:smooth val="0"/>
        <c:axId val="1722326384"/>
        <c:axId val="1722323024"/>
      </c:lineChart>
      <c:catAx>
        <c:axId val="204363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722322544"/>
        <c:crosses val="autoZero"/>
        <c:auto val="1"/>
        <c:lblAlgn val="ctr"/>
        <c:lblOffset val="100"/>
        <c:noMultiLvlLbl val="0"/>
      </c:catAx>
      <c:valAx>
        <c:axId val="17223225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GB" b="1"/>
                  <a:t>₹'cr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043632624"/>
        <c:crosses val="autoZero"/>
        <c:crossBetween val="between"/>
      </c:valAx>
      <c:valAx>
        <c:axId val="1722323024"/>
        <c:scaling>
          <c:orientation val="minMax"/>
          <c:min val="40"/>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GB" b="1"/>
                  <a:t>No. of 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722326384"/>
        <c:crosses val="max"/>
        <c:crossBetween val="between"/>
        <c:majorUnit val="2"/>
      </c:valAx>
      <c:catAx>
        <c:axId val="1722326384"/>
        <c:scaling>
          <c:orientation val="minMax"/>
        </c:scaling>
        <c:delete val="1"/>
        <c:axPos val="b"/>
        <c:numFmt formatCode="General" sourceLinked="1"/>
        <c:majorTickMark val="none"/>
        <c:minorTickMark val="none"/>
        <c:tickLblPos val="nextTo"/>
        <c:crossAx val="17223230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arial" panose="020B0604020202020204" pitchFamily="34" charset="0"/>
              </a:defRPr>
            </a:pPr>
            <a:r>
              <a:rPr lang="en-GB" sz="1200" b="1"/>
              <a:t>Trade Payables &amp; DPO</a:t>
            </a:r>
          </a:p>
        </c:rich>
      </c:tx>
      <c:overlay val="0"/>
      <c:spPr>
        <a:noFill/>
        <a:ln>
          <a:noFill/>
        </a:ln>
        <a:effectLst/>
      </c:spPr>
    </c:title>
    <c:autoTitleDeleted val="0"/>
    <c:plotArea>
      <c:layout/>
      <c:barChart>
        <c:barDir val="col"/>
        <c:grouping val="clustered"/>
        <c:varyColors val="0"/>
        <c:ser>
          <c:idx val="0"/>
          <c:order val="0"/>
          <c:tx>
            <c:v>Trade Payables</c:v>
          </c:tx>
          <c:spPr>
            <a:solidFill>
              <a:srgbClr val="1F4E78"/>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Graphs!C3:H3</c:f>
              <c:strCache>
                <c:ptCount val="5"/>
                <c:pt idx="0">
                  <c:v>FY23A</c:v>
                </c:pt>
                <c:pt idx="1">
                  <c:v>FY24A</c:v>
                </c:pt>
                <c:pt idx="2">
                  <c:v>FY25A</c:v>
                </c:pt>
                <c:pt idx="3">
                  <c:v>FY26E</c:v>
                </c:pt>
                <c:pt idx="4">
                  <c:v>FY27E</c:v>
                </c:pt>
              </c:strCache>
            </c:strRef>
          </c:cat>
          <c:val>
            <c:numRef>
              <c:f>Graphs!C18:H18</c:f>
              <c:numCache>
                <c:formatCode>#,##0;\(#,##0\);"-"</c:formatCode>
                <c:ptCount val="5"/>
                <c:pt idx="0">
                  <c:v>1828.23</c:v>
                </c:pt>
                <c:pt idx="1">
                  <c:v>1912.1</c:v>
                </c:pt>
                <c:pt idx="2">
                  <c:v>2720.5</c:v>
                </c:pt>
                <c:pt idx="3">
                  <c:v>2772.06</c:v>
                </c:pt>
                <c:pt idx="4">
                  <c:v>3487.71</c:v>
                </c:pt>
              </c:numCache>
            </c:numRef>
          </c:val>
          <c:extLst>
            <c:ext xmlns:c16="http://schemas.microsoft.com/office/drawing/2014/chart" uri="{C3380CC4-5D6E-409C-BE32-E72D297353CC}">
              <c16:uniqueId val="{00000000-9DBD-47B6-AE61-35299F50E118}"/>
            </c:ext>
          </c:extLst>
        </c:ser>
        <c:dLbls>
          <c:showLegendKey val="0"/>
          <c:showVal val="1"/>
          <c:showCatName val="0"/>
          <c:showSerName val="0"/>
          <c:showPercent val="0"/>
          <c:showBubbleSize val="0"/>
        </c:dLbls>
        <c:gapWidth val="150"/>
        <c:axId val="2043632624"/>
        <c:axId val="1722322544"/>
      </c:barChart>
      <c:lineChart>
        <c:grouping val="standard"/>
        <c:varyColors val="0"/>
        <c:ser>
          <c:idx val="1"/>
          <c:order val="1"/>
          <c:tx>
            <c:v>DPO</c:v>
          </c:tx>
          <c:spPr>
            <a:ln w="28575">
              <a:solidFill>
                <a:srgbClr val="4D93D9"/>
              </a:solidFill>
              <a:prstDash val="soli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Graphs!C3:H3</c:f>
              <c:strCache>
                <c:ptCount val="5"/>
                <c:pt idx="0">
                  <c:v>FY23A</c:v>
                </c:pt>
                <c:pt idx="1">
                  <c:v>FY24A</c:v>
                </c:pt>
                <c:pt idx="2">
                  <c:v>FY25A</c:v>
                </c:pt>
                <c:pt idx="3">
                  <c:v>FY26E</c:v>
                </c:pt>
                <c:pt idx="4">
                  <c:v>FY27E</c:v>
                </c:pt>
              </c:strCache>
            </c:strRef>
          </c:cat>
          <c:val>
            <c:numRef>
              <c:f>Graphs!C19:H19</c:f>
              <c:numCache>
                <c:formatCode>#,##0;\(#,##0\);"-"</c:formatCode>
                <c:ptCount val="5"/>
                <c:pt idx="0">
                  <c:v>97</c:v>
                </c:pt>
                <c:pt idx="1">
                  <c:v>95</c:v>
                </c:pt>
                <c:pt idx="2">
                  <c:v>105</c:v>
                </c:pt>
                <c:pt idx="3">
                  <c:v>101</c:v>
                </c:pt>
                <c:pt idx="4">
                  <c:v>104</c:v>
                </c:pt>
              </c:numCache>
            </c:numRef>
          </c:val>
          <c:smooth val="0"/>
          <c:extLst>
            <c:ext xmlns:c16="http://schemas.microsoft.com/office/drawing/2014/chart" uri="{C3380CC4-5D6E-409C-BE32-E72D297353CC}">
              <c16:uniqueId val="{00000005-9DBD-47B6-AE61-35299F50E118}"/>
            </c:ext>
          </c:extLst>
        </c:ser>
        <c:dLbls>
          <c:showLegendKey val="0"/>
          <c:showVal val="1"/>
          <c:showCatName val="0"/>
          <c:showSerName val="0"/>
          <c:showPercent val="0"/>
          <c:showBubbleSize val="0"/>
        </c:dLbls>
        <c:marker val="1"/>
        <c:smooth val="0"/>
        <c:axId val="1722326384"/>
        <c:axId val="1722323024"/>
      </c:lineChart>
      <c:catAx>
        <c:axId val="204363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722322544"/>
        <c:crosses val="autoZero"/>
        <c:auto val="1"/>
        <c:lblAlgn val="ctr"/>
        <c:lblOffset val="100"/>
        <c:noMultiLvlLbl val="0"/>
      </c:catAx>
      <c:valAx>
        <c:axId val="17223225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GB" b="1"/>
                  <a:t>₹'cr</a:t>
                </a:r>
              </a:p>
            </c:rich>
          </c:tx>
          <c:overlay val="0"/>
          <c:spPr>
            <a:noFill/>
            <a:ln>
              <a:noFill/>
            </a:ln>
            <a:effectLst/>
          </c:sp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043632624"/>
        <c:crosses val="autoZero"/>
        <c:crossBetween val="between"/>
      </c:valAx>
      <c:valAx>
        <c:axId val="1722323024"/>
        <c:scaling>
          <c:orientation val="minMax"/>
          <c:min val="80"/>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GB" b="1"/>
                  <a:t>No. of days</a:t>
                </a:r>
              </a:p>
            </c:rich>
          </c:tx>
          <c:overlay val="0"/>
          <c:spPr>
            <a:noFill/>
            <a:ln>
              <a:noFill/>
            </a:ln>
            <a:effectLst/>
          </c:sp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722326384"/>
        <c:crosses val="max"/>
        <c:crossBetween val="between"/>
      </c:valAx>
      <c:catAx>
        <c:axId val="1722326384"/>
        <c:scaling>
          <c:orientation val="minMax"/>
        </c:scaling>
        <c:delete val="1"/>
        <c:axPos val="b"/>
        <c:numFmt formatCode="General" sourceLinked="1"/>
        <c:majorTickMark val="none"/>
        <c:minorTickMark val="none"/>
        <c:tickLblPos val="nextTo"/>
        <c:crossAx val="1722323024"/>
        <c:crosses val="autoZero"/>
        <c:auto val="1"/>
        <c:lblAlgn val="ctr"/>
        <c:lblOffset val="100"/>
        <c:noMultiLvlLbl val="0"/>
      </c:cat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arial" panose="020B0604020202020204" pitchFamily="34" charset="0"/>
              </a:defRPr>
            </a:pPr>
            <a:r>
              <a:rPr lang="en-GB" sz="1200" b="1"/>
              <a:t>Inventories &amp; DOH</a:t>
            </a:r>
          </a:p>
        </c:rich>
      </c:tx>
      <c:overlay val="0"/>
      <c:spPr>
        <a:noFill/>
        <a:ln>
          <a:noFill/>
        </a:ln>
        <a:effectLst/>
      </c:spPr>
    </c:title>
    <c:autoTitleDeleted val="0"/>
    <c:plotArea>
      <c:layout/>
      <c:barChart>
        <c:barDir val="col"/>
        <c:grouping val="clustered"/>
        <c:varyColors val="0"/>
        <c:ser>
          <c:idx val="0"/>
          <c:order val="0"/>
          <c:tx>
            <c:v>Inventories</c:v>
          </c:tx>
          <c:spPr>
            <a:solidFill>
              <a:srgbClr val="1F4E78"/>
            </a:solidFill>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[2]Graphs!$C$3:$H$3</c:f>
              <c:strCache>
                <c:ptCount val="6"/>
              </c:strCache>
            </c:strRef>
          </c:cat>
          <c:val>
            <c:numRef>
              <c:f>Graphs!C20:H20</c:f>
              <c:numCache>
                <c:formatCode>#,##0;\(#,##0\);"-"</c:formatCode>
                <c:ptCount val="5"/>
                <c:pt idx="0">
                  <c:v>451.97</c:v>
                </c:pt>
                <c:pt idx="1">
                  <c:v>437.51</c:v>
                </c:pt>
                <c:pt idx="2">
                  <c:v>521.79999999999995</c:v>
                </c:pt>
                <c:pt idx="3">
                  <c:v>631.26</c:v>
                </c:pt>
                <c:pt idx="4">
                  <c:v>775.05</c:v>
                </c:pt>
              </c:numCache>
            </c:numRef>
          </c:val>
          <c:extLst>
            <c:ext xmlns:c16="http://schemas.microsoft.com/office/drawing/2014/chart" uri="{C3380CC4-5D6E-409C-BE32-E72D297353CC}">
              <c16:uniqueId val="{00000000-DB0B-42EC-BC90-C5CD500C8A89}"/>
            </c:ext>
          </c:extLst>
        </c:ser>
        <c:dLbls>
          <c:showLegendKey val="0"/>
          <c:showVal val="1"/>
          <c:showCatName val="0"/>
          <c:showSerName val="0"/>
          <c:showPercent val="0"/>
          <c:showBubbleSize val="0"/>
        </c:dLbls>
        <c:gapWidth val="150"/>
        <c:axId val="2043632624"/>
        <c:axId val="1722322544"/>
      </c:barChart>
      <c:lineChart>
        <c:grouping val="standard"/>
        <c:varyColors val="0"/>
        <c:ser>
          <c:idx val="1"/>
          <c:order val="1"/>
          <c:tx>
            <c:v>DOH</c:v>
          </c:tx>
          <c:spPr>
            <a:ln>
              <a:solidFill>
                <a:srgbClr val="4D93D9"/>
              </a:solidFill>
              <a:prstDash val="solid"/>
            </a:ln>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[2]Graphs!$C$3:$H$3</c:f>
              <c:strCache>
                <c:ptCount val="6"/>
              </c:strCache>
            </c:strRef>
          </c:cat>
          <c:val>
            <c:numRef>
              <c:f>Graphs!C21:H21</c:f>
              <c:numCache>
                <c:formatCode>#,##0;\(#,##0\);"-"</c:formatCode>
                <c:ptCount val="5"/>
                <c:pt idx="0">
                  <c:v>27</c:v>
                </c:pt>
                <c:pt idx="1">
                  <c:v>23</c:v>
                </c:pt>
                <c:pt idx="2">
                  <c:v>22</c:v>
                </c:pt>
                <c:pt idx="3">
                  <c:v>23</c:v>
                </c:pt>
                <c:pt idx="4">
                  <c:v>23</c:v>
                </c:pt>
              </c:numCache>
            </c:numRef>
          </c:val>
          <c:smooth val="0"/>
          <c:extLst>
            <c:ext xmlns:c16="http://schemas.microsoft.com/office/drawing/2014/chart" uri="{C3380CC4-5D6E-409C-BE32-E72D297353CC}">
              <c16:uniqueId val="{00000004-DB0B-42EC-BC90-C5CD500C8A89}"/>
            </c:ext>
          </c:extLst>
        </c:ser>
        <c:dLbls>
          <c:showLegendKey val="0"/>
          <c:showVal val="1"/>
          <c:showCatName val="0"/>
          <c:showSerName val="0"/>
          <c:showPercent val="0"/>
          <c:showBubbleSize val="0"/>
        </c:dLbls>
        <c:marker val="1"/>
        <c:smooth val="0"/>
        <c:axId val="1722326384"/>
        <c:axId val="1722323024"/>
      </c:lineChart>
      <c:catAx>
        <c:axId val="204363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722322544"/>
        <c:crosses val="autoZero"/>
        <c:auto val="1"/>
        <c:lblAlgn val="ctr"/>
        <c:lblOffset val="100"/>
        <c:noMultiLvlLbl val="0"/>
      </c:catAx>
      <c:valAx>
        <c:axId val="17223225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GB" b="1"/>
                  <a:t>₹'cr</a:t>
                </a:r>
              </a:p>
            </c:rich>
          </c:tx>
          <c:overlay val="0"/>
          <c:spPr>
            <a:noFill/>
            <a:ln>
              <a:noFill/>
            </a:ln>
            <a:effectLst/>
          </c:sp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043632624"/>
        <c:crosses val="autoZero"/>
        <c:crossBetween val="between"/>
      </c:valAx>
      <c:valAx>
        <c:axId val="172232302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GB" b="1"/>
                  <a:t>No. of days</a:t>
                </a:r>
              </a:p>
            </c:rich>
          </c:tx>
          <c:overlay val="0"/>
          <c:spPr>
            <a:noFill/>
            <a:ln>
              <a:noFill/>
            </a:ln>
            <a:effectLst/>
          </c:sp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722326384"/>
        <c:crosses val="max"/>
        <c:crossBetween val="between"/>
      </c:valAx>
      <c:catAx>
        <c:axId val="1722326384"/>
        <c:scaling>
          <c:orientation val="minMax"/>
        </c:scaling>
        <c:delete val="1"/>
        <c:axPos val="b"/>
        <c:numFmt formatCode="General" sourceLinked="1"/>
        <c:majorTickMark val="none"/>
        <c:minorTickMark val="none"/>
        <c:tickLblPos val="nextTo"/>
        <c:crossAx val="1722323024"/>
        <c:crosses val="autoZero"/>
        <c:auto val="1"/>
        <c:lblAlgn val="ctr"/>
        <c:lblOffset val="100"/>
        <c:noMultiLvlLbl val="0"/>
      </c:cat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sz="1200" b="1"/>
              <a:t>Debt to Equity (x)</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tx>
            <c:strRef>
              <c:f>[2]Graphs!$B$25:$C$25</c:f>
              <c:strCache>
                <c:ptCount val="2"/>
              </c:strCache>
            </c:strRef>
          </c:tx>
          <c:spPr>
            <a:ln w="28575" cap="rnd">
              <a:solidFill>
                <a:srgbClr val="002060"/>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Graphs!D3:H3</c:f>
              <c:strCache>
                <c:ptCount val="5"/>
                <c:pt idx="0">
                  <c:v>FY23A</c:v>
                </c:pt>
                <c:pt idx="1">
                  <c:v>FY24A</c:v>
                </c:pt>
                <c:pt idx="2">
                  <c:v>FY25A</c:v>
                </c:pt>
                <c:pt idx="3">
                  <c:v>FY26E</c:v>
                </c:pt>
                <c:pt idx="4">
                  <c:v>FY27E</c:v>
                </c:pt>
              </c:strCache>
            </c:strRef>
          </c:cat>
          <c:val>
            <c:numRef>
              <c:f>Graphs!D25:H25</c:f>
              <c:numCache>
                <c:formatCode>#,##0.0;\(#,##0.0\);"-"</c:formatCode>
                <c:ptCount val="5"/>
                <c:pt idx="0">
                  <c:v>1.1000000000000001</c:v>
                </c:pt>
                <c:pt idx="1">
                  <c:v>0.9</c:v>
                </c:pt>
                <c:pt idx="2">
                  <c:v>0.7</c:v>
                </c:pt>
                <c:pt idx="3">
                  <c:v>0.9</c:v>
                </c:pt>
                <c:pt idx="4">
                  <c:v>0.8</c:v>
                </c:pt>
              </c:numCache>
            </c:numRef>
          </c:val>
          <c:smooth val="0"/>
          <c:extLst>
            <c:ext xmlns:c16="http://schemas.microsoft.com/office/drawing/2014/chart" uri="{C3380CC4-5D6E-409C-BE32-E72D297353CC}">
              <c16:uniqueId val="{00000000-816D-4199-A23C-437D8EDB9521}"/>
            </c:ext>
          </c:extLst>
        </c:ser>
        <c:dLbls>
          <c:showLegendKey val="0"/>
          <c:showVal val="1"/>
          <c:showCatName val="0"/>
          <c:showSerName val="0"/>
          <c:showPercent val="0"/>
          <c:showBubbleSize val="0"/>
        </c:dLbls>
        <c:smooth val="0"/>
        <c:axId val="1486217360"/>
        <c:axId val="1486204880"/>
      </c:lineChart>
      <c:catAx>
        <c:axId val="148621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86204880"/>
        <c:crosses val="autoZero"/>
        <c:auto val="1"/>
        <c:lblAlgn val="ctr"/>
        <c:lblOffset val="100"/>
        <c:noMultiLvlLbl val="0"/>
      </c:catAx>
      <c:valAx>
        <c:axId val="1486204880"/>
        <c:scaling>
          <c:orientation val="minMax"/>
          <c:max val="1.3"/>
          <c:min val="0.5"/>
        </c:scaling>
        <c:delete val="0"/>
        <c:axPos val="l"/>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86217360"/>
        <c:crosses val="autoZero"/>
        <c:crossBetween val="between"/>
        <c:majorUnit val="0.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sz="1200" b="1"/>
              <a:t>Net Debt to EBITDA (x)</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tx>
            <c:strRef>
              <c:f>[2]Graphs!$B$25:$C$25</c:f>
              <c:strCache>
                <c:ptCount val="2"/>
              </c:strCache>
            </c:strRef>
          </c:tx>
          <c:spPr>
            <a:ln w="28575" cap="rnd">
              <a:solidFill>
                <a:srgbClr val="002060"/>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Graphs!D3:H3</c:f>
              <c:strCache>
                <c:ptCount val="5"/>
                <c:pt idx="0">
                  <c:v>FY23A</c:v>
                </c:pt>
                <c:pt idx="1">
                  <c:v>FY24A</c:v>
                </c:pt>
                <c:pt idx="2">
                  <c:v>FY25A</c:v>
                </c:pt>
                <c:pt idx="3">
                  <c:v>FY26E</c:v>
                </c:pt>
                <c:pt idx="4">
                  <c:v>FY27E</c:v>
                </c:pt>
              </c:strCache>
            </c:strRef>
          </c:cat>
          <c:val>
            <c:numRef>
              <c:f>Graphs!D26:H26</c:f>
              <c:numCache>
                <c:formatCode>#,##0.0;\(#,##0.0\);"-"</c:formatCode>
                <c:ptCount val="5"/>
                <c:pt idx="0">
                  <c:v>4.2</c:v>
                </c:pt>
                <c:pt idx="1">
                  <c:v>2.5</c:v>
                </c:pt>
                <c:pt idx="2">
                  <c:v>2.2000000000000002</c:v>
                </c:pt>
                <c:pt idx="3">
                  <c:v>1.6</c:v>
                </c:pt>
                <c:pt idx="4">
                  <c:v>1.2</c:v>
                </c:pt>
              </c:numCache>
            </c:numRef>
          </c:val>
          <c:smooth val="0"/>
          <c:extLst>
            <c:ext xmlns:c16="http://schemas.microsoft.com/office/drawing/2014/chart" uri="{C3380CC4-5D6E-409C-BE32-E72D297353CC}">
              <c16:uniqueId val="{00000000-3336-4949-9AF2-5D7A7362E388}"/>
            </c:ext>
          </c:extLst>
        </c:ser>
        <c:dLbls>
          <c:showLegendKey val="0"/>
          <c:showVal val="1"/>
          <c:showCatName val="0"/>
          <c:showSerName val="0"/>
          <c:showPercent val="0"/>
          <c:showBubbleSize val="0"/>
        </c:dLbls>
        <c:smooth val="0"/>
        <c:axId val="1486217360"/>
        <c:axId val="1486204880"/>
      </c:lineChart>
      <c:catAx>
        <c:axId val="148621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86204880"/>
        <c:crosses val="autoZero"/>
        <c:auto val="1"/>
        <c:lblAlgn val="ctr"/>
        <c:lblOffset val="100"/>
        <c:noMultiLvlLbl val="0"/>
      </c:catAx>
      <c:valAx>
        <c:axId val="1486204880"/>
        <c:scaling>
          <c:orientation val="minMax"/>
          <c:max val="4.5"/>
          <c:min val="1"/>
        </c:scaling>
        <c:delete val="0"/>
        <c:axPos val="l"/>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86217360"/>
        <c:crosses val="autoZero"/>
        <c:crossBetween val="between"/>
        <c:majorUnit val="0.4"/>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Style="combo" dx="26" fmlaLink="$C$6" fmlaRange="$B$23:$B$25" noThreeD="1" sel="1" val="0"/>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4</xdr:row>
          <xdr:rowOff>25400</xdr:rowOff>
        </xdr:from>
        <xdr:to>
          <xdr:col>3</xdr:col>
          <xdr:colOff>127000</xdr:colOff>
          <xdr:row>6</xdr:row>
          <xdr:rowOff>25400</xdr:rowOff>
        </xdr:to>
        <xdr:sp macro="" textlink="">
          <xdr:nvSpPr>
            <xdr:cNvPr id="14342" name="Drop Down 6" hidden="1">
              <a:extLst>
                <a:ext uri="{63B3BB69-23CF-44E3-9099-C40C66FF867C}">
                  <a14:compatExt spid="_x0000_s14342"/>
                </a:ext>
                <a:ext uri="{FF2B5EF4-FFF2-40B4-BE49-F238E27FC236}">
                  <a16:creationId xmlns:a16="http://schemas.microsoft.com/office/drawing/2014/main" id="{73533BBA-E176-1347-BC38-6B34398F451B}"/>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8</xdr:col>
      <xdr:colOff>528734</xdr:colOff>
      <xdr:row>3</xdr:row>
      <xdr:rowOff>88835</xdr:rowOff>
    </xdr:from>
    <xdr:to>
      <xdr:col>16</xdr:col>
      <xdr:colOff>248816</xdr:colOff>
      <xdr:row>17</xdr:row>
      <xdr:rowOff>80476</xdr:rowOff>
    </xdr:to>
    <xdr:graphicFrame macro="">
      <xdr:nvGraphicFramePr>
        <xdr:cNvPr id="2" name="Chart 1">
          <a:extLst>
            <a:ext uri="{FF2B5EF4-FFF2-40B4-BE49-F238E27FC236}">
              <a16:creationId xmlns:a16="http://schemas.microsoft.com/office/drawing/2014/main" id="{B27A49A9-CD86-4F34-8B08-7B76745F1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408992</xdr:colOff>
      <xdr:row>3</xdr:row>
      <xdr:rowOff>77949</xdr:rowOff>
    </xdr:from>
    <xdr:to>
      <xdr:col>24</xdr:col>
      <xdr:colOff>129073</xdr:colOff>
      <xdr:row>17</xdr:row>
      <xdr:rowOff>69590</xdr:rowOff>
    </xdr:to>
    <xdr:graphicFrame macro="">
      <xdr:nvGraphicFramePr>
        <xdr:cNvPr id="3" name="Chart 2">
          <a:extLst>
            <a:ext uri="{FF2B5EF4-FFF2-40B4-BE49-F238E27FC236}">
              <a16:creationId xmlns:a16="http://schemas.microsoft.com/office/drawing/2014/main" id="{622B4BA0-97EB-4CCF-835E-504832C96086}"/>
            </a:ext>
            <a:ext uri="{147F2762-F138-4A5C-976F-8EAC2B608ADB}">
              <a16:predDERef xmlns:a16="http://schemas.microsoft.com/office/drawing/2014/main" pred="{B27A49A9-CD86-4F34-8B08-7B76745F1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272025</xdr:colOff>
      <xdr:row>3</xdr:row>
      <xdr:rowOff>85665</xdr:rowOff>
    </xdr:from>
    <xdr:to>
      <xdr:col>31</xdr:col>
      <xdr:colOff>599777</xdr:colOff>
      <xdr:row>17</xdr:row>
      <xdr:rowOff>77306</xdr:rowOff>
    </xdr:to>
    <xdr:graphicFrame macro="">
      <xdr:nvGraphicFramePr>
        <xdr:cNvPr id="4" name="Chart 3">
          <a:extLst>
            <a:ext uri="{FF2B5EF4-FFF2-40B4-BE49-F238E27FC236}">
              <a16:creationId xmlns:a16="http://schemas.microsoft.com/office/drawing/2014/main" id="{950FFD56-F060-4A81-B162-98265E12069E}"/>
            </a:ext>
            <a:ext uri="{147F2762-F138-4A5C-976F-8EAC2B608ADB}">
              <a16:predDERef xmlns:a16="http://schemas.microsoft.com/office/drawing/2014/main" pred="{622B4BA0-97EB-4CCF-835E-504832C96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517160</xdr:colOff>
      <xdr:row>18</xdr:row>
      <xdr:rowOff>11549</xdr:rowOff>
    </xdr:from>
    <xdr:to>
      <xdr:col>16</xdr:col>
      <xdr:colOff>237242</xdr:colOff>
      <xdr:row>33</xdr:row>
      <xdr:rowOff>3191</xdr:rowOff>
    </xdr:to>
    <xdr:graphicFrame macro="">
      <xdr:nvGraphicFramePr>
        <xdr:cNvPr id="5" name="Chart 4">
          <a:extLst>
            <a:ext uri="{FF2B5EF4-FFF2-40B4-BE49-F238E27FC236}">
              <a16:creationId xmlns:a16="http://schemas.microsoft.com/office/drawing/2014/main" id="{29384BB6-8D84-47DD-B31B-D5E4AF7FC032}"/>
            </a:ext>
            <a:ext uri="{147F2762-F138-4A5C-976F-8EAC2B608ADB}">
              <a16:predDERef xmlns:a16="http://schemas.microsoft.com/office/drawing/2014/main" pred="{950FFD56-F060-4A81-B162-98265E120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428421</xdr:colOff>
      <xdr:row>18</xdr:row>
      <xdr:rowOff>26621</xdr:rowOff>
    </xdr:from>
    <xdr:to>
      <xdr:col>24</xdr:col>
      <xdr:colOff>148503</xdr:colOff>
      <xdr:row>33</xdr:row>
      <xdr:rowOff>20553</xdr:rowOff>
    </xdr:to>
    <xdr:graphicFrame macro="">
      <xdr:nvGraphicFramePr>
        <xdr:cNvPr id="6" name="Chart 5">
          <a:extLst>
            <a:ext uri="{FF2B5EF4-FFF2-40B4-BE49-F238E27FC236}">
              <a16:creationId xmlns:a16="http://schemas.microsoft.com/office/drawing/2014/main" id="{841C61A3-12BA-48A3-BF90-109E46CC0B62}"/>
            </a:ext>
            <a:ext uri="{147F2762-F138-4A5C-976F-8EAC2B608ADB}">
              <a16:predDERef xmlns:a16="http://schemas.microsoft.com/office/drawing/2014/main" pred="{29384BB6-8D84-47DD-B31B-D5E4AF7FC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233527</xdr:colOff>
      <xdr:row>18</xdr:row>
      <xdr:rowOff>44138</xdr:rowOff>
    </xdr:from>
    <xdr:to>
      <xdr:col>31</xdr:col>
      <xdr:colOff>559876</xdr:colOff>
      <xdr:row>33</xdr:row>
      <xdr:rowOff>35781</xdr:rowOff>
    </xdr:to>
    <xdr:graphicFrame macro="">
      <xdr:nvGraphicFramePr>
        <xdr:cNvPr id="7" name="Chart 6">
          <a:extLst>
            <a:ext uri="{FF2B5EF4-FFF2-40B4-BE49-F238E27FC236}">
              <a16:creationId xmlns:a16="http://schemas.microsoft.com/office/drawing/2014/main" id="{AAED7CCD-F023-4DDC-8617-4D15E58E081F}"/>
            </a:ext>
            <a:ext uri="{147F2762-F138-4A5C-976F-8EAC2B608ADB}">
              <a16:predDERef xmlns:a16="http://schemas.microsoft.com/office/drawing/2014/main" pred="{841C61A3-12BA-48A3-BF90-109E46CC0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532063</xdr:colOff>
      <xdr:row>33</xdr:row>
      <xdr:rowOff>153037</xdr:rowOff>
    </xdr:from>
    <xdr:to>
      <xdr:col>16</xdr:col>
      <xdr:colOff>252988</xdr:colOff>
      <xdr:row>47</xdr:row>
      <xdr:rowOff>145384</xdr:rowOff>
    </xdr:to>
    <xdr:graphicFrame macro="">
      <xdr:nvGraphicFramePr>
        <xdr:cNvPr id="8" name="Chart 7">
          <a:extLst>
            <a:ext uri="{FF2B5EF4-FFF2-40B4-BE49-F238E27FC236}">
              <a16:creationId xmlns:a16="http://schemas.microsoft.com/office/drawing/2014/main" id="{CC104120-D53D-4BEA-8DF4-4D2AF3988012}"/>
            </a:ext>
            <a:ext uri="{147F2762-F138-4A5C-976F-8EAC2B608ADB}">
              <a16:predDERef xmlns:a16="http://schemas.microsoft.com/office/drawing/2014/main" pred="{AAED7CCD-F023-4DDC-8617-4D15E58E0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447397</xdr:colOff>
      <xdr:row>33</xdr:row>
      <xdr:rowOff>161504</xdr:rowOff>
    </xdr:from>
    <xdr:to>
      <xdr:col>24</xdr:col>
      <xdr:colOff>168322</xdr:colOff>
      <xdr:row>47</xdr:row>
      <xdr:rowOff>153851</xdr:rowOff>
    </xdr:to>
    <xdr:graphicFrame macro="">
      <xdr:nvGraphicFramePr>
        <xdr:cNvPr id="9" name="Chart 8">
          <a:extLst>
            <a:ext uri="{FF2B5EF4-FFF2-40B4-BE49-F238E27FC236}">
              <a16:creationId xmlns:a16="http://schemas.microsoft.com/office/drawing/2014/main" id="{2FD10A62-D21B-426D-BDD2-BD8B15336CC2}"/>
            </a:ext>
            <a:ext uri="{147F2762-F138-4A5C-976F-8EAC2B608ADB}">
              <a16:predDERef xmlns:a16="http://schemas.microsoft.com/office/drawing/2014/main" pred="{CC104120-D53D-4BEA-8DF4-4D2AF3988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271331</xdr:colOff>
      <xdr:row>33</xdr:row>
      <xdr:rowOff>149365</xdr:rowOff>
    </xdr:from>
    <xdr:to>
      <xdr:col>31</xdr:col>
      <xdr:colOff>598183</xdr:colOff>
      <xdr:row>47</xdr:row>
      <xdr:rowOff>141712</xdr:rowOff>
    </xdr:to>
    <xdr:graphicFrame macro="">
      <xdr:nvGraphicFramePr>
        <xdr:cNvPr id="10" name="Chart 9">
          <a:extLst>
            <a:ext uri="{FF2B5EF4-FFF2-40B4-BE49-F238E27FC236}">
              <a16:creationId xmlns:a16="http://schemas.microsoft.com/office/drawing/2014/main" id="{FCE7DFF2-4212-4564-AFC8-FBDBA42B80D2}"/>
            </a:ext>
            <a:ext uri="{147F2762-F138-4A5C-976F-8EAC2B608ADB}">
              <a16:predDERef xmlns:a16="http://schemas.microsoft.com/office/drawing/2014/main" pred="{2FD10A62-D21B-426D-BDD2-BD8B15336C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550329</xdr:colOff>
      <xdr:row>48</xdr:row>
      <xdr:rowOff>167750</xdr:rowOff>
    </xdr:from>
    <xdr:to>
      <xdr:col>16</xdr:col>
      <xdr:colOff>267581</xdr:colOff>
      <xdr:row>62</xdr:row>
      <xdr:rowOff>160098</xdr:rowOff>
    </xdr:to>
    <xdr:graphicFrame macro="">
      <xdr:nvGraphicFramePr>
        <xdr:cNvPr id="11" name="Chart 10">
          <a:extLst>
            <a:ext uri="{FF2B5EF4-FFF2-40B4-BE49-F238E27FC236}">
              <a16:creationId xmlns:a16="http://schemas.microsoft.com/office/drawing/2014/main" id="{CC6B3304-00B6-4DAB-A7AE-4AA63484CCC2}"/>
            </a:ext>
            <a:ext uri="{147F2762-F138-4A5C-976F-8EAC2B608ADB}">
              <a16:predDERef xmlns:a16="http://schemas.microsoft.com/office/drawing/2014/main" pred="{FCE7DFF2-4212-4564-AFC8-FBDBA42B8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429429</xdr:colOff>
      <xdr:row>48</xdr:row>
      <xdr:rowOff>161235</xdr:rowOff>
    </xdr:from>
    <xdr:to>
      <xdr:col>24</xdr:col>
      <xdr:colOff>124629</xdr:colOff>
      <xdr:row>62</xdr:row>
      <xdr:rowOff>184797</xdr:rowOff>
    </xdr:to>
    <xdr:graphicFrame macro="">
      <xdr:nvGraphicFramePr>
        <xdr:cNvPr id="12" name="Chart 11">
          <a:extLst>
            <a:ext uri="{FF2B5EF4-FFF2-40B4-BE49-F238E27FC236}">
              <a16:creationId xmlns:a16="http://schemas.microsoft.com/office/drawing/2014/main" id="{FC251220-5567-4B31-A387-9929B1E17322}"/>
            </a:ext>
            <a:ext uri="{147F2762-F138-4A5C-976F-8EAC2B608ADB}">
              <a16:predDERef xmlns:a16="http://schemas.microsoft.com/office/drawing/2014/main" pred="{CC6B3304-00B6-4DAB-A7AE-4AA63484CC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24</xdr:col>
      <xdr:colOff>277581</xdr:colOff>
      <xdr:row>48</xdr:row>
      <xdr:rowOff>166885</xdr:rowOff>
    </xdr:from>
    <xdr:to>
      <xdr:col>31</xdr:col>
      <xdr:colOff>580842</xdr:colOff>
      <xdr:row>62</xdr:row>
      <xdr:rowOff>190447</xdr:rowOff>
    </xdr:to>
    <xdr:graphicFrame macro="">
      <xdr:nvGraphicFramePr>
        <xdr:cNvPr id="13" name="Chart 12">
          <a:extLst>
            <a:ext uri="{FF2B5EF4-FFF2-40B4-BE49-F238E27FC236}">
              <a16:creationId xmlns:a16="http://schemas.microsoft.com/office/drawing/2014/main" id="{AA8BDB77-FA3B-48CC-A507-146832576432}"/>
            </a:ext>
            <a:ext uri="{147F2762-F138-4A5C-976F-8EAC2B608ADB}">
              <a16:predDERef xmlns:a16="http://schemas.microsoft.com/office/drawing/2014/main" pred="{FC251220-5567-4B31-A387-9929B1E17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556926</xdr:colOff>
      <xdr:row>63</xdr:row>
      <xdr:rowOff>166722</xdr:rowOff>
    </xdr:from>
    <xdr:to>
      <xdr:col>16</xdr:col>
      <xdr:colOff>254050</xdr:colOff>
      <xdr:row>77</xdr:row>
      <xdr:rowOff>190284</xdr:rowOff>
    </xdr:to>
    <xdr:graphicFrame macro="">
      <xdr:nvGraphicFramePr>
        <xdr:cNvPr id="14" name="Chart 13">
          <a:extLst>
            <a:ext uri="{FF2B5EF4-FFF2-40B4-BE49-F238E27FC236}">
              <a16:creationId xmlns:a16="http://schemas.microsoft.com/office/drawing/2014/main" id="{1844276E-E7CE-470A-AC4E-BEF89F1958DA}"/>
            </a:ext>
            <a:ext uri="{147F2762-F138-4A5C-976F-8EAC2B608ADB}">
              <a16:predDERef xmlns:a16="http://schemas.microsoft.com/office/drawing/2014/main" pred="{AA8BDB77-FA3B-48CC-A507-146832576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422371</xdr:colOff>
      <xdr:row>64</xdr:row>
      <xdr:rowOff>2411</xdr:rowOff>
    </xdr:from>
    <xdr:to>
      <xdr:col>24</xdr:col>
      <xdr:colOff>139623</xdr:colOff>
      <xdr:row>77</xdr:row>
      <xdr:rowOff>185260</xdr:rowOff>
    </xdr:to>
    <xdr:graphicFrame macro="">
      <xdr:nvGraphicFramePr>
        <xdr:cNvPr id="15" name="Chart 14">
          <a:extLst>
            <a:ext uri="{FF2B5EF4-FFF2-40B4-BE49-F238E27FC236}">
              <a16:creationId xmlns:a16="http://schemas.microsoft.com/office/drawing/2014/main" id="{99B1BD43-B481-43D2-B186-7C6D01A4C758}"/>
            </a:ext>
            <a:ext uri="{147F2762-F138-4A5C-976F-8EAC2B608ADB}">
              <a16:predDERef xmlns:a16="http://schemas.microsoft.com/office/drawing/2014/main" pred="{1844276E-E7CE-470A-AC4E-BEF89F195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24</xdr:col>
      <xdr:colOff>257175</xdr:colOff>
      <xdr:row>64</xdr:row>
      <xdr:rowOff>0</xdr:rowOff>
    </xdr:from>
    <xdr:to>
      <xdr:col>31</xdr:col>
      <xdr:colOff>584027</xdr:colOff>
      <xdr:row>77</xdr:row>
      <xdr:rowOff>182849</xdr:rowOff>
    </xdr:to>
    <xdr:graphicFrame macro="">
      <xdr:nvGraphicFramePr>
        <xdr:cNvPr id="16" name="Chart 15">
          <a:extLst>
            <a:ext uri="{FF2B5EF4-FFF2-40B4-BE49-F238E27FC236}">
              <a16:creationId xmlns:a16="http://schemas.microsoft.com/office/drawing/2014/main" id="{75D5C8CC-5F66-432D-9C49-6B22DEABB2D0}"/>
            </a:ext>
            <a:ext uri="{147F2762-F138-4A5C-976F-8EAC2B608ADB}">
              <a16:predDERef xmlns:a16="http://schemas.microsoft.com/office/drawing/2014/main" pred="{99B1BD43-B481-43D2-B186-7C6D01A4C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Documents\AC%20Agarwal%20Share%20Brokers\Research%20Reports\BSE%20200%20Companies\Polycab%20India\Initiating%20Coverage%20Report\Polycab%20India%20Graphs_Initiating%20Coverage%20Report.xlsx" TargetMode="External"/><Relationship Id="rId1" Type="http://schemas.openxmlformats.org/officeDocument/2006/relationships/externalLinkPath" Target="file:///D:\Documents\AC%20Agarwal%20Share%20Brokers\Research%20Reports\BSE%20200%20Companies\Polycab%20India\Initiating%20Coverage%20Report\Polycab%20India%20Graphs_Initiating%20Coverage%20Report.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Users/shreyas/Downloads/Tube%20Investments%20of%20India%20Financial%20Model_IC%20Report%20(1).xlsx" TargetMode="External"/><Relationship Id="rId1" Type="http://schemas.openxmlformats.org/officeDocument/2006/relationships/externalLinkPath" Target="Tube%20Investments%20of%20India%20Financial%20Model_IC%20Report%20(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onsol"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ustomization"/>
      <sheetName val="Data Sheet"/>
      <sheetName val="Graphs"/>
      <sheetName val="Shareholding Pattern"/>
      <sheetName val="Peer Comparison"/>
      <sheetName val="Credit Rating"/>
      <sheetName val="Contingent Liabilities"/>
      <sheetName val="Manufacturing Capacity"/>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Historical Financials"/>
      <sheetName val="Cases"/>
      <sheetName val="Consol. Historical FS"/>
      <sheetName val="Std. Historical FS"/>
      <sheetName val="Consol. Common Size FS"/>
      <sheetName val="Std. Common Size FS"/>
      <sheetName val="Projected Financials"/>
      <sheetName val="3 Model Projected FS"/>
      <sheetName val="Summary_3 Model Projected FS"/>
      <sheetName val="Financial Ratios"/>
      <sheetName val="Scenarios"/>
      <sheetName val="Schedules"/>
      <sheetName val="PP&amp;E"/>
      <sheetName val="Intangible Assets"/>
      <sheetName val="RoU Assets"/>
      <sheetName val="Investment Property"/>
      <sheetName val="Equity"/>
      <sheetName val="Borrowings &amp; LL"/>
      <sheetName val="Valuation"/>
      <sheetName val="SOTP Valuation"/>
      <sheetName val="Other Data"/>
      <sheetName val="Graphs"/>
      <sheetName val="Shareholding Pattern"/>
      <sheetName val="Segment Wise Graphs"/>
      <sheetName val="Peer Comparison"/>
      <sheetName val="Dividend"/>
      <sheetName val="Credit Rating"/>
      <sheetName val="Contingent Liabilities"/>
      <sheetName val="Reverse DCF Analysis"/>
      <sheetName val="Subsidiaries"/>
      <sheetName val="Consol"/>
    </sheetNames>
    <sheetDataSet>
      <sheetData sheetId="0"/>
      <sheetData sheetId="1"/>
      <sheetData sheetId="2"/>
      <sheetData sheetId="3">
        <row r="9">
          <cell r="D9">
            <v>12447.43</v>
          </cell>
          <cell r="E9">
            <v>14964.06</v>
          </cell>
          <cell r="F9">
            <v>16890.330000000002</v>
          </cell>
          <cell r="G9">
            <v>19464.650000000001</v>
          </cell>
        </row>
        <row r="10">
          <cell r="C10">
            <v>3578.66</v>
          </cell>
          <cell r="D10">
            <v>7913.11</v>
          </cell>
          <cell r="E10">
            <v>9192.99</v>
          </cell>
          <cell r="F10">
            <v>10458.14</v>
          </cell>
          <cell r="G10">
            <v>12035.5</v>
          </cell>
        </row>
        <row r="11">
          <cell r="C11">
            <v>171.02</v>
          </cell>
          <cell r="D11">
            <v>506.54</v>
          </cell>
          <cell r="E11">
            <v>665.17</v>
          </cell>
          <cell r="F11">
            <v>711.82</v>
          </cell>
          <cell r="G11">
            <v>949.69</v>
          </cell>
        </row>
        <row r="12">
          <cell r="C12">
            <v>-107.65</v>
          </cell>
          <cell r="D12">
            <v>-131.5</v>
          </cell>
          <cell r="E12">
            <v>-27.9</v>
          </cell>
          <cell r="F12">
            <v>-163.41999999999999</v>
          </cell>
          <cell r="G12">
            <v>-201.8</v>
          </cell>
        </row>
        <row r="14">
          <cell r="C14">
            <v>710.56</v>
          </cell>
          <cell r="D14">
            <v>1032.5</v>
          </cell>
          <cell r="E14">
            <v>1204.83</v>
          </cell>
          <cell r="F14">
            <v>1493.24</v>
          </cell>
          <cell r="G14">
            <v>1789.69</v>
          </cell>
        </row>
        <row r="15">
          <cell r="C15">
            <v>0</v>
          </cell>
          <cell r="D15">
            <v>0</v>
          </cell>
          <cell r="E15">
            <v>0</v>
          </cell>
          <cell r="F15">
            <v>0</v>
          </cell>
          <cell r="G15">
            <v>136.69999999999999</v>
          </cell>
        </row>
        <row r="16">
          <cell r="C16">
            <v>1096</v>
          </cell>
          <cell r="D16">
            <v>1691.52</v>
          </cell>
          <cell r="E16">
            <v>2042.06</v>
          </cell>
          <cell r="F16">
            <v>2441.13</v>
          </cell>
          <cell r="G16">
            <v>2905.62</v>
          </cell>
        </row>
        <row r="21">
          <cell r="C21">
            <v>68.13</v>
          </cell>
          <cell r="D21">
            <v>104.44</v>
          </cell>
          <cell r="E21">
            <v>143.91999999999999</v>
          </cell>
          <cell r="F21">
            <v>251.71</v>
          </cell>
          <cell r="G21">
            <v>371.06</v>
          </cell>
        </row>
        <row r="23">
          <cell r="C23">
            <v>0</v>
          </cell>
          <cell r="D23">
            <v>-2.92</v>
          </cell>
          <cell r="E23">
            <v>-19.559999999999999</v>
          </cell>
          <cell r="F23">
            <v>-0.63</v>
          </cell>
          <cell r="G23">
            <v>-0.38</v>
          </cell>
        </row>
        <row r="25">
          <cell r="C25">
            <v>-41.88</v>
          </cell>
          <cell r="D25">
            <v>20.21</v>
          </cell>
          <cell r="E25">
            <v>8.06</v>
          </cell>
          <cell r="F25">
            <v>0.08</v>
          </cell>
          <cell r="G25">
            <v>-11.05</v>
          </cell>
        </row>
        <row r="31">
          <cell r="C31">
            <v>0.08</v>
          </cell>
          <cell r="D31">
            <v>23.49</v>
          </cell>
          <cell r="E31">
            <v>169.8</v>
          </cell>
          <cell r="F31">
            <v>534.85</v>
          </cell>
          <cell r="G31">
            <v>0</v>
          </cell>
        </row>
        <row r="32">
          <cell r="C32">
            <v>0</v>
          </cell>
          <cell r="D32">
            <v>-0.06</v>
          </cell>
          <cell r="E32">
            <v>-3.16</v>
          </cell>
          <cell r="F32">
            <v>0.8</v>
          </cell>
          <cell r="G32">
            <v>0</v>
          </cell>
        </row>
        <row r="47">
          <cell r="C47">
            <v>664.67</v>
          </cell>
          <cell r="D47">
            <v>663.14</v>
          </cell>
          <cell r="E47">
            <v>853.79</v>
          </cell>
          <cell r="F47">
            <v>1134.74</v>
          </cell>
          <cell r="G47">
            <v>1248.72</v>
          </cell>
        </row>
        <row r="49">
          <cell r="C49">
            <v>13.96</v>
          </cell>
          <cell r="D49">
            <v>11.01</v>
          </cell>
          <cell r="E49">
            <v>13.44</v>
          </cell>
          <cell r="F49">
            <v>32.71</v>
          </cell>
          <cell r="G49">
            <v>36.909999999999997</v>
          </cell>
        </row>
        <row r="50">
          <cell r="C50">
            <v>0</v>
          </cell>
          <cell r="D50">
            <v>161.41</v>
          </cell>
          <cell r="E50">
            <v>9.41</v>
          </cell>
          <cell r="F50">
            <v>8.7799999999999994</v>
          </cell>
          <cell r="G50">
            <v>5.46</v>
          </cell>
        </row>
        <row r="52">
          <cell r="C52">
            <v>45.57</v>
          </cell>
          <cell r="D52">
            <v>31.36</v>
          </cell>
          <cell r="E52">
            <v>29.91</v>
          </cell>
          <cell r="F52">
            <v>26.72</v>
          </cell>
          <cell r="G52">
            <v>25.4</v>
          </cell>
        </row>
        <row r="53">
          <cell r="C53">
            <v>57.42</v>
          </cell>
          <cell r="D53">
            <v>56.17</v>
          </cell>
          <cell r="E53">
            <v>49.06</v>
          </cell>
          <cell r="F53">
            <v>63.29</v>
          </cell>
          <cell r="G53">
            <v>76.819999999999993</v>
          </cell>
        </row>
        <row r="54">
          <cell r="C54">
            <v>495.96</v>
          </cell>
          <cell r="D54">
            <v>513.57000000000005</v>
          </cell>
          <cell r="E54">
            <v>334.96</v>
          </cell>
          <cell r="F54">
            <v>124.6</v>
          </cell>
          <cell r="G54">
            <v>85.07</v>
          </cell>
        </row>
        <row r="55">
          <cell r="C55">
            <v>27.71</v>
          </cell>
          <cell r="D55">
            <v>20.41</v>
          </cell>
          <cell r="E55">
            <v>139.31</v>
          </cell>
          <cell r="F55">
            <v>134.6</v>
          </cell>
          <cell r="G55">
            <v>123.99</v>
          </cell>
        </row>
        <row r="56">
          <cell r="C56">
            <v>35.69</v>
          </cell>
          <cell r="D56">
            <v>56.49</v>
          </cell>
          <cell r="E56">
            <v>65.459999999999994</v>
          </cell>
          <cell r="F56">
            <v>102.37</v>
          </cell>
          <cell r="G56">
            <v>239.22</v>
          </cell>
        </row>
        <row r="60">
          <cell r="C60">
            <v>1106.1300000000001</v>
          </cell>
          <cell r="D60">
            <v>1327.11</v>
          </cell>
          <cell r="E60">
            <v>1352.91</v>
          </cell>
          <cell r="F60">
            <v>1787.52</v>
          </cell>
          <cell r="G60">
            <v>2223.7800000000002</v>
          </cell>
        </row>
        <row r="62">
          <cell r="C62">
            <v>323.49</v>
          </cell>
          <cell r="D62">
            <v>348.99</v>
          </cell>
          <cell r="E62">
            <v>689.92</v>
          </cell>
          <cell r="F62">
            <v>1334.09</v>
          </cell>
          <cell r="G62">
            <v>899.87</v>
          </cell>
        </row>
        <row r="63">
          <cell r="C63">
            <v>1238.8499999999999</v>
          </cell>
          <cell r="D63">
            <v>1785.34</v>
          </cell>
          <cell r="E63">
            <v>2129.4699999999998</v>
          </cell>
          <cell r="F63">
            <v>2732.78</v>
          </cell>
          <cell r="G63">
            <v>3305.3</v>
          </cell>
        </row>
        <row r="66">
          <cell r="C66">
            <v>1.93</v>
          </cell>
          <cell r="D66">
            <v>2.17</v>
          </cell>
          <cell r="E66">
            <v>2.0699999999999998</v>
          </cell>
          <cell r="F66">
            <v>2.73</v>
          </cell>
          <cell r="G66">
            <v>0.32</v>
          </cell>
        </row>
        <row r="67">
          <cell r="C67">
            <v>0</v>
          </cell>
          <cell r="D67">
            <v>1.02</v>
          </cell>
          <cell r="E67">
            <v>7.0000000000000007E-2</v>
          </cell>
          <cell r="F67">
            <v>3.3</v>
          </cell>
          <cell r="G67">
            <v>4.62</v>
          </cell>
        </row>
        <row r="68">
          <cell r="C68">
            <v>184.79</v>
          </cell>
          <cell r="D68">
            <v>155.13</v>
          </cell>
          <cell r="E68">
            <v>168.62</v>
          </cell>
          <cell r="F68">
            <v>260.06</v>
          </cell>
          <cell r="G68">
            <v>243.45</v>
          </cell>
        </row>
        <row r="69">
          <cell r="C69">
            <v>402.27</v>
          </cell>
          <cell r="D69">
            <v>305.66000000000003</v>
          </cell>
          <cell r="E69">
            <v>403.07</v>
          </cell>
          <cell r="F69">
            <v>500.25</v>
          </cell>
          <cell r="G69">
            <v>639.15</v>
          </cell>
        </row>
        <row r="70">
          <cell r="C70">
            <v>129.19</v>
          </cell>
          <cell r="D70">
            <v>83.19</v>
          </cell>
          <cell r="E70">
            <v>0</v>
          </cell>
          <cell r="F70">
            <v>0</v>
          </cell>
          <cell r="G70">
            <v>4.28</v>
          </cell>
        </row>
        <row r="72">
          <cell r="C72">
            <v>392.32</v>
          </cell>
          <cell r="D72">
            <v>8.06</v>
          </cell>
          <cell r="E72">
            <v>189.87</v>
          </cell>
          <cell r="F72">
            <v>73.180000000000007</v>
          </cell>
          <cell r="G72">
            <v>73.31</v>
          </cell>
        </row>
        <row r="87">
          <cell r="C87">
            <v>8.07</v>
          </cell>
          <cell r="D87">
            <v>14.83</v>
          </cell>
          <cell r="E87">
            <v>402.2</v>
          </cell>
          <cell r="F87">
            <v>1218.44</v>
          </cell>
          <cell r="G87">
            <v>2420.35</v>
          </cell>
        </row>
        <row r="88">
          <cell r="C88">
            <v>0</v>
          </cell>
          <cell r="D88">
            <v>0</v>
          </cell>
          <cell r="E88">
            <v>1.07</v>
          </cell>
          <cell r="F88">
            <v>0</v>
          </cell>
          <cell r="G88">
            <v>0</v>
          </cell>
        </row>
        <row r="89">
          <cell r="C89">
            <v>0</v>
          </cell>
          <cell r="D89">
            <v>0</v>
          </cell>
          <cell r="E89">
            <v>0.96</v>
          </cell>
          <cell r="F89">
            <v>1.41</v>
          </cell>
          <cell r="G89">
            <v>2.69</v>
          </cell>
        </row>
        <row r="90">
          <cell r="C90">
            <v>27.78</v>
          </cell>
          <cell r="D90">
            <v>30.75</v>
          </cell>
          <cell r="E90">
            <v>24.82</v>
          </cell>
          <cell r="F90">
            <v>68.64</v>
          </cell>
          <cell r="G90">
            <v>95.76</v>
          </cell>
        </row>
        <row r="91">
          <cell r="C91">
            <v>2.3199999999999998</v>
          </cell>
          <cell r="D91">
            <v>0.69</v>
          </cell>
          <cell r="E91">
            <v>0.48</v>
          </cell>
          <cell r="F91">
            <v>0.48</v>
          </cell>
          <cell r="G91">
            <v>0.48</v>
          </cell>
        </row>
        <row r="92">
          <cell r="C92">
            <v>2.13</v>
          </cell>
          <cell r="D92">
            <v>7.23</v>
          </cell>
          <cell r="E92">
            <v>27.92</v>
          </cell>
          <cell r="F92">
            <v>72</v>
          </cell>
          <cell r="G92">
            <v>239.5</v>
          </cell>
        </row>
        <row r="100">
          <cell r="C100">
            <v>115.3</v>
          </cell>
          <cell r="D100">
            <v>68.010000000000005</v>
          </cell>
          <cell r="E100">
            <v>108.34</v>
          </cell>
          <cell r="F100">
            <v>142.1</v>
          </cell>
          <cell r="G100">
            <v>227.44</v>
          </cell>
        </row>
        <row r="101">
          <cell r="C101">
            <v>2115.0100000000002</v>
          </cell>
          <cell r="D101">
            <v>2275.2199999999998</v>
          </cell>
          <cell r="E101">
            <v>2192.14</v>
          </cell>
          <cell r="F101">
            <v>2581.94</v>
          </cell>
          <cell r="G101">
            <v>2892.53</v>
          </cell>
        </row>
        <row r="102">
          <cell r="C102">
            <v>615.66999999999996</v>
          </cell>
          <cell r="D102">
            <v>748.64</v>
          </cell>
          <cell r="E102">
            <v>414.26</v>
          </cell>
          <cell r="F102">
            <v>550.14</v>
          </cell>
          <cell r="G102">
            <v>605.48</v>
          </cell>
        </row>
        <row r="103">
          <cell r="C103">
            <v>1.43</v>
          </cell>
          <cell r="D103">
            <v>0</v>
          </cell>
          <cell r="E103">
            <v>0.63</v>
          </cell>
          <cell r="F103">
            <v>0</v>
          </cell>
          <cell r="G103">
            <v>4.66</v>
          </cell>
        </row>
        <row r="104">
          <cell r="C104">
            <v>791.27</v>
          </cell>
          <cell r="D104">
            <v>909.22</v>
          </cell>
          <cell r="E104">
            <v>404.25</v>
          </cell>
          <cell r="F104">
            <v>500.6</v>
          </cell>
          <cell r="G104">
            <v>692.67</v>
          </cell>
        </row>
        <row r="105">
          <cell r="C105">
            <v>253.36</v>
          </cell>
          <cell r="D105">
            <v>197.58</v>
          </cell>
          <cell r="E105">
            <v>258.73</v>
          </cell>
          <cell r="F105">
            <v>271.75</v>
          </cell>
          <cell r="G105">
            <v>288.12</v>
          </cell>
        </row>
        <row r="106">
          <cell r="C106">
            <v>18.5</v>
          </cell>
          <cell r="D106">
            <v>17.87</v>
          </cell>
          <cell r="E106">
            <v>18.5</v>
          </cell>
          <cell r="F106">
            <v>2.97</v>
          </cell>
          <cell r="G106">
            <v>0</v>
          </cell>
        </row>
        <row r="107">
          <cell r="C107">
            <v>5.82</v>
          </cell>
          <cell r="D107">
            <v>6.44</v>
          </cell>
          <cell r="E107">
            <v>59.05</v>
          </cell>
          <cell r="F107">
            <v>61.31</v>
          </cell>
          <cell r="G107">
            <v>34.950000000000003</v>
          </cell>
        </row>
        <row r="109">
          <cell r="C109">
            <v>11.05</v>
          </cell>
          <cell r="D109">
            <v>8.84</v>
          </cell>
          <cell r="E109">
            <v>692.85</v>
          </cell>
          <cell r="F109">
            <v>64.27</v>
          </cell>
          <cell r="G109">
            <v>64.27</v>
          </cell>
        </row>
        <row r="124">
          <cell r="C124">
            <v>1.32</v>
          </cell>
          <cell r="D124">
            <v>2.36</v>
          </cell>
          <cell r="E124">
            <v>13.54</v>
          </cell>
          <cell r="F124">
            <v>23.92</v>
          </cell>
          <cell r="G124">
            <v>29.65</v>
          </cell>
        </row>
        <row r="125">
          <cell r="C125">
            <v>-1.69</v>
          </cell>
          <cell r="D125">
            <v>0.95</v>
          </cell>
          <cell r="E125">
            <v>-7.95</v>
          </cell>
          <cell r="F125">
            <v>-4.66</v>
          </cell>
          <cell r="G125">
            <v>1.48</v>
          </cell>
        </row>
        <row r="126">
          <cell r="C126">
            <v>-8.9600000000000009</v>
          </cell>
          <cell r="D126">
            <v>-8.39</v>
          </cell>
          <cell r="E126">
            <v>-14.68</v>
          </cell>
          <cell r="F126">
            <v>-76.73</v>
          </cell>
          <cell r="G126">
            <v>-101.53</v>
          </cell>
        </row>
        <row r="127">
          <cell r="C127">
            <v>45.49</v>
          </cell>
          <cell r="D127">
            <v>-20.78</v>
          </cell>
          <cell r="E127">
            <v>15.99</v>
          </cell>
          <cell r="F127">
            <v>10.71</v>
          </cell>
          <cell r="G127">
            <v>10.78</v>
          </cell>
        </row>
        <row r="128">
          <cell r="C128">
            <v>-8.82</v>
          </cell>
          <cell r="D128">
            <v>13</v>
          </cell>
          <cell r="E128">
            <v>0.31</v>
          </cell>
          <cell r="F128">
            <v>3.17</v>
          </cell>
          <cell r="G128">
            <v>15.47</v>
          </cell>
        </row>
        <row r="129">
          <cell r="C129">
            <v>-16.77</v>
          </cell>
          <cell r="D129">
            <v>-29.19</v>
          </cell>
          <cell r="E129">
            <v>-38.08</v>
          </cell>
          <cell r="F129">
            <v>-96.94</v>
          </cell>
          <cell r="G129">
            <v>-118.46</v>
          </cell>
        </row>
        <row r="131">
          <cell r="C131">
            <v>-3.6</v>
          </cell>
          <cell r="D131">
            <v>-2.78</v>
          </cell>
          <cell r="E131">
            <v>-21.8</v>
          </cell>
          <cell r="F131">
            <v>-7.34</v>
          </cell>
          <cell r="G131">
            <v>-49.53</v>
          </cell>
        </row>
        <row r="132">
          <cell r="C132">
            <v>0</v>
          </cell>
          <cell r="D132">
            <v>0</v>
          </cell>
          <cell r="E132">
            <v>-14.79</v>
          </cell>
          <cell r="F132">
            <v>0</v>
          </cell>
          <cell r="G132">
            <v>0</v>
          </cell>
        </row>
        <row r="133">
          <cell r="C133">
            <v>0</v>
          </cell>
          <cell r="D133">
            <v>-0.92</v>
          </cell>
          <cell r="E133">
            <v>-0.41</v>
          </cell>
          <cell r="F133">
            <v>0</v>
          </cell>
          <cell r="G133">
            <v>0</v>
          </cell>
        </row>
        <row r="135">
          <cell r="C135">
            <v>0</v>
          </cell>
          <cell r="D135">
            <v>0</v>
          </cell>
          <cell r="E135">
            <v>0</v>
          </cell>
          <cell r="F135">
            <v>0</v>
          </cell>
          <cell r="G135">
            <v>-36</v>
          </cell>
        </row>
        <row r="136">
          <cell r="C136">
            <v>0</v>
          </cell>
          <cell r="D136">
            <v>0</v>
          </cell>
          <cell r="E136">
            <v>0</v>
          </cell>
          <cell r="F136">
            <v>0</v>
          </cell>
          <cell r="G136">
            <v>-15.43</v>
          </cell>
        </row>
        <row r="137">
          <cell r="C137">
            <v>-3.34</v>
          </cell>
          <cell r="D137">
            <v>-3.24</v>
          </cell>
          <cell r="E137">
            <v>0</v>
          </cell>
          <cell r="F137">
            <v>0</v>
          </cell>
          <cell r="G137">
            <v>0</v>
          </cell>
        </row>
        <row r="139">
          <cell r="C139">
            <v>0</v>
          </cell>
          <cell r="D139">
            <v>0</v>
          </cell>
          <cell r="E139">
            <v>0</v>
          </cell>
          <cell r="F139">
            <v>-2.4500000000000002</v>
          </cell>
          <cell r="G139">
            <v>0</v>
          </cell>
        </row>
        <row r="151">
          <cell r="C151">
            <v>0</v>
          </cell>
          <cell r="D151">
            <v>0</v>
          </cell>
          <cell r="E151">
            <v>0.3</v>
          </cell>
          <cell r="F151">
            <v>0</v>
          </cell>
          <cell r="G151">
            <v>0</v>
          </cell>
        </row>
        <row r="152">
          <cell r="C152">
            <v>1.45</v>
          </cell>
          <cell r="D152">
            <v>21.22</v>
          </cell>
          <cell r="E152">
            <v>10.5</v>
          </cell>
          <cell r="F152">
            <v>-6.27</v>
          </cell>
          <cell r="G152">
            <v>0</v>
          </cell>
        </row>
        <row r="157">
          <cell r="C157">
            <v>5.51</v>
          </cell>
          <cell r="D157">
            <v>11.18</v>
          </cell>
          <cell r="E157">
            <v>13.64</v>
          </cell>
          <cell r="F157">
            <v>28.56</v>
          </cell>
          <cell r="G157">
            <v>6.32</v>
          </cell>
        </row>
        <row r="158">
          <cell r="C158">
            <v>-216.92</v>
          </cell>
          <cell r="D158">
            <v>-88.3</v>
          </cell>
          <cell r="E158">
            <v>-324.83999999999997</v>
          </cell>
          <cell r="F158">
            <v>-562.76</v>
          </cell>
          <cell r="G158">
            <v>535.74</v>
          </cell>
        </row>
        <row r="159">
          <cell r="C159">
            <v>0</v>
          </cell>
          <cell r="D159">
            <v>14.03</v>
          </cell>
          <cell r="E159">
            <v>0</v>
          </cell>
          <cell r="F159">
            <v>1.78</v>
          </cell>
          <cell r="G159">
            <v>0</v>
          </cell>
        </row>
        <row r="160">
          <cell r="C160">
            <v>0</v>
          </cell>
          <cell r="D160">
            <v>-164.37</v>
          </cell>
          <cell r="E160">
            <v>-159.87</v>
          </cell>
          <cell r="F160">
            <v>-374.75</v>
          </cell>
          <cell r="G160">
            <v>-394.49</v>
          </cell>
        </row>
        <row r="161">
          <cell r="C161">
            <v>0</v>
          </cell>
          <cell r="E161">
            <v>0</v>
          </cell>
          <cell r="F161">
            <v>0</v>
          </cell>
          <cell r="G161">
            <v>-28.68</v>
          </cell>
        </row>
        <row r="162">
          <cell r="C162">
            <v>0</v>
          </cell>
          <cell r="E162">
            <v>0</v>
          </cell>
          <cell r="F162">
            <v>-4.63</v>
          </cell>
          <cell r="G162">
            <v>-2.68</v>
          </cell>
        </row>
        <row r="163">
          <cell r="C163">
            <v>0</v>
          </cell>
          <cell r="D163">
            <v>0</v>
          </cell>
          <cell r="E163">
            <v>-3</v>
          </cell>
          <cell r="F163">
            <v>0</v>
          </cell>
          <cell r="G163">
            <v>0</v>
          </cell>
        </row>
        <row r="164">
          <cell r="C164">
            <v>0.24</v>
          </cell>
          <cell r="D164">
            <v>-3.37</v>
          </cell>
          <cell r="E164">
            <v>-9.3699999999999992</v>
          </cell>
          <cell r="F164">
            <v>-673.38</v>
          </cell>
          <cell r="G164">
            <v>-613.25</v>
          </cell>
        </row>
        <row r="165">
          <cell r="C165">
            <v>0</v>
          </cell>
          <cell r="D165">
            <v>5.92</v>
          </cell>
          <cell r="E165">
            <v>-8.4499999999999993</v>
          </cell>
          <cell r="F165">
            <v>-1.49</v>
          </cell>
          <cell r="G165">
            <v>-6.48</v>
          </cell>
        </row>
        <row r="166">
          <cell r="C166">
            <v>13.4</v>
          </cell>
          <cell r="D166">
            <v>24.52</v>
          </cell>
          <cell r="E166">
            <v>37.450000000000003</v>
          </cell>
          <cell r="F166">
            <v>65.64</v>
          </cell>
          <cell r="G166">
            <v>101.16</v>
          </cell>
        </row>
        <row r="167">
          <cell r="C167">
            <v>3.34</v>
          </cell>
          <cell r="D167">
            <v>3.24</v>
          </cell>
          <cell r="E167">
            <v>0</v>
          </cell>
          <cell r="F167">
            <v>0</v>
          </cell>
          <cell r="G167">
            <v>0</v>
          </cell>
        </row>
        <row r="168">
          <cell r="C168">
            <v>0</v>
          </cell>
          <cell r="D168">
            <v>367.18</v>
          </cell>
          <cell r="E168">
            <v>-0.81</v>
          </cell>
          <cell r="F168">
            <v>83.2</v>
          </cell>
          <cell r="G168">
            <v>0</v>
          </cell>
        </row>
      </sheetData>
      <sheetData sheetId="4">
        <row r="28">
          <cell r="C28">
            <v>273.18000000000035</v>
          </cell>
          <cell r="D28">
            <v>475.1700000000003</v>
          </cell>
          <cell r="E28">
            <v>665.20000000000027</v>
          </cell>
          <cell r="F28">
            <v>734.5100000000001</v>
          </cell>
          <cell r="G28">
            <v>1296.6599999999996</v>
          </cell>
        </row>
      </sheetData>
      <sheetData sheetId="5">
        <row r="10">
          <cell r="C10">
            <v>0.58799999999999997</v>
          </cell>
          <cell r="D10">
            <v>0.63600000000000001</v>
          </cell>
          <cell r="E10">
            <v>0.61399999999999999</v>
          </cell>
          <cell r="F10">
            <v>0.61899999999999999</v>
          </cell>
          <cell r="G10">
            <v>0.61799999999999999</v>
          </cell>
        </row>
        <row r="11">
          <cell r="C11">
            <v>2.8000000000000001E-2</v>
          </cell>
          <cell r="D11">
            <v>4.1000000000000002E-2</v>
          </cell>
          <cell r="E11">
            <v>4.3999999999999997E-2</v>
          </cell>
          <cell r="F11">
            <v>4.2000000000000003E-2</v>
          </cell>
          <cell r="G11">
            <v>4.9000000000000002E-2</v>
          </cell>
        </row>
        <row r="12">
          <cell r="C12">
            <v>-1.7999999999999999E-2</v>
          </cell>
          <cell r="D12">
            <v>-1.0999999999999999E-2</v>
          </cell>
          <cell r="E12">
            <v>-2E-3</v>
          </cell>
          <cell r="F12">
            <v>-0.01</v>
          </cell>
          <cell r="G12">
            <v>-0.01</v>
          </cell>
        </row>
        <row r="14">
          <cell r="C14">
            <v>0.11700000000000001</v>
          </cell>
          <cell r="D14">
            <v>8.3000000000000004E-2</v>
          </cell>
          <cell r="E14">
            <v>8.1000000000000003E-2</v>
          </cell>
          <cell r="F14">
            <v>8.7999999999999995E-2</v>
          </cell>
          <cell r="G14">
            <v>9.1999999999999998E-2</v>
          </cell>
        </row>
        <row r="15">
          <cell r="C15">
            <v>0</v>
          </cell>
          <cell r="D15">
            <v>0</v>
          </cell>
          <cell r="E15">
            <v>0</v>
          </cell>
          <cell r="F15">
            <v>0</v>
          </cell>
          <cell r="G15">
            <v>7.0000000000000001E-3</v>
          </cell>
        </row>
        <row r="16">
          <cell r="C16">
            <v>0.18</v>
          </cell>
          <cell r="D16">
            <v>0.13600000000000001</v>
          </cell>
          <cell r="E16">
            <v>0.13600000000000001</v>
          </cell>
          <cell r="F16">
            <v>0.14499999999999999</v>
          </cell>
          <cell r="G16">
            <v>0.14899999999999999</v>
          </cell>
        </row>
        <row r="21">
          <cell r="C21">
            <v>1.0999999999999999E-2</v>
          </cell>
          <cell r="D21">
            <v>8.0000000000000002E-3</v>
          </cell>
          <cell r="E21">
            <v>0.01</v>
          </cell>
          <cell r="F21">
            <v>1.4999999999999999E-2</v>
          </cell>
          <cell r="G21">
            <v>1.9E-2</v>
          </cell>
        </row>
        <row r="23">
          <cell r="C23">
            <v>0</v>
          </cell>
          <cell r="D23">
            <v>0</v>
          </cell>
          <cell r="E23">
            <v>-1E-3</v>
          </cell>
          <cell r="F23">
            <v>0</v>
          </cell>
          <cell r="G23">
            <v>0</v>
          </cell>
        </row>
        <row r="25">
          <cell r="C25">
            <v>-7.0000000000000001E-3</v>
          </cell>
          <cell r="D25">
            <v>2E-3</v>
          </cell>
          <cell r="E25">
            <v>1E-3</v>
          </cell>
          <cell r="F25">
            <v>0</v>
          </cell>
          <cell r="G25">
            <v>-1E-3</v>
          </cell>
        </row>
        <row r="31">
          <cell r="C31">
            <v>0</v>
          </cell>
          <cell r="D31">
            <v>2E-3</v>
          </cell>
          <cell r="E31">
            <v>1.0999999999999999E-2</v>
          </cell>
          <cell r="F31">
            <v>3.2000000000000001E-2</v>
          </cell>
          <cell r="G31">
            <v>0</v>
          </cell>
        </row>
        <row r="32">
          <cell r="C32">
            <v>0</v>
          </cell>
          <cell r="D32">
            <v>0</v>
          </cell>
          <cell r="E32">
            <v>0</v>
          </cell>
          <cell r="F32">
            <v>0</v>
          </cell>
          <cell r="G32">
            <v>0</v>
          </cell>
        </row>
      </sheetData>
      <sheetData sheetId="6">
        <row r="28">
          <cell r="C28">
            <v>6.4000000000000001E-2</v>
          </cell>
          <cell r="D28">
            <v>7.4999999999999997E-2</v>
          </cell>
          <cell r="E28">
            <v>9.1999999999999998E-2</v>
          </cell>
          <cell r="F28">
            <v>9.7000000000000003E-2</v>
          </cell>
          <cell r="G28">
            <v>0.16400000000000001</v>
          </cell>
        </row>
      </sheetData>
      <sheetData sheetId="7"/>
      <sheetData sheetId="8">
        <row r="3">
          <cell r="C3" t="str">
            <v>FY21A</v>
          </cell>
          <cell r="D3" t="str">
            <v>FY22A</v>
          </cell>
          <cell r="E3" t="str">
            <v>FY23A</v>
          </cell>
          <cell r="F3" t="str">
            <v>FY24A</v>
          </cell>
          <cell r="G3" t="str">
            <v>FY25A</v>
          </cell>
          <cell r="H3" t="str">
            <v>FY26E</v>
          </cell>
          <cell r="I3" t="str">
            <v>FY27E</v>
          </cell>
        </row>
        <row r="29">
          <cell r="C29">
            <v>364.5</v>
          </cell>
          <cell r="D29">
            <v>1128.44</v>
          </cell>
          <cell r="E29">
            <v>1580.94</v>
          </cell>
          <cell r="F29">
            <v>1694.5</v>
          </cell>
          <cell r="G29">
            <v>1653.2</v>
          </cell>
        </row>
        <row r="30">
          <cell r="C30">
            <v>78.759999999999991</v>
          </cell>
          <cell r="D30">
            <v>160.82999999999998</v>
          </cell>
          <cell r="E30">
            <v>422.58000000000004</v>
          </cell>
          <cell r="F30">
            <v>497.16</v>
          </cell>
          <cell r="G30">
            <v>598.91000000000008</v>
          </cell>
        </row>
        <row r="36">
          <cell r="C36">
            <v>285.82</v>
          </cell>
          <cell r="D36">
            <v>991.04</v>
          </cell>
          <cell r="E36">
            <v>1325</v>
          </cell>
          <cell r="F36">
            <v>1732.99</v>
          </cell>
          <cell r="G36">
            <v>1054.29</v>
          </cell>
        </row>
        <row r="39">
          <cell r="C39">
            <v>275.25</v>
          </cell>
          <cell r="D39">
            <v>768.83</v>
          </cell>
          <cell r="E39">
            <v>955.52</v>
          </cell>
          <cell r="F39">
            <v>1205.92</v>
          </cell>
          <cell r="G39">
            <v>673.71</v>
          </cell>
          <cell r="H39">
            <v>1075.58</v>
          </cell>
          <cell r="I39">
            <v>1275.04</v>
          </cell>
        </row>
        <row r="40">
          <cell r="C40">
            <v>10.57</v>
          </cell>
          <cell r="D40">
            <v>222.21</v>
          </cell>
          <cell r="E40">
            <v>369.48</v>
          </cell>
          <cell r="F40">
            <v>527.07000000000005</v>
          </cell>
          <cell r="G40">
            <v>380.58</v>
          </cell>
        </row>
        <row r="65">
          <cell r="H65">
            <v>1399.87</v>
          </cell>
          <cell r="I65">
            <v>1899.87</v>
          </cell>
        </row>
        <row r="67">
          <cell r="C67">
            <v>513.80999999999995</v>
          </cell>
          <cell r="D67">
            <v>411.21</v>
          </cell>
          <cell r="E67">
            <v>842.8</v>
          </cell>
          <cell r="F67">
            <v>535.92999999999995</v>
          </cell>
          <cell r="G67">
            <v>656.38</v>
          </cell>
          <cell r="H67">
            <v>919.01000000000056</v>
          </cell>
          <cell r="I67">
            <v>1281.9600000000009</v>
          </cell>
        </row>
        <row r="68">
          <cell r="C68">
            <v>102.77</v>
          </cell>
          <cell r="D68">
            <v>161.44999999999999</v>
          </cell>
          <cell r="E68">
            <v>101.76</v>
          </cell>
          <cell r="F68">
            <v>691.47</v>
          </cell>
          <cell r="G68">
            <v>1378.83</v>
          </cell>
          <cell r="H68">
            <v>1378.83</v>
          </cell>
          <cell r="I68">
            <v>1378.83</v>
          </cell>
        </row>
        <row r="82">
          <cell r="C82">
            <v>2312.23</v>
          </cell>
          <cell r="D82">
            <v>3071.08</v>
          </cell>
          <cell r="E82">
            <v>3950.57</v>
          </cell>
          <cell r="F82">
            <v>5104.91</v>
          </cell>
          <cell r="G82">
            <v>5535.7300000000005</v>
          </cell>
          <cell r="H82">
            <v>7035.0000000000073</v>
          </cell>
          <cell r="I82">
            <v>8808.0900000000074</v>
          </cell>
        </row>
        <row r="88">
          <cell r="C88">
            <v>924.9</v>
          </cell>
          <cell r="D88">
            <v>345.29</v>
          </cell>
          <cell r="E88">
            <v>44.18</v>
          </cell>
          <cell r="F88">
            <v>49.11</v>
          </cell>
          <cell r="G88">
            <v>66.8</v>
          </cell>
          <cell r="H88">
            <v>66.8</v>
          </cell>
          <cell r="I88">
            <v>66.8</v>
          </cell>
        </row>
        <row r="100">
          <cell r="C100">
            <v>989.72</v>
          </cell>
          <cell r="D100">
            <v>458.47</v>
          </cell>
          <cell r="E100">
            <v>584.96</v>
          </cell>
          <cell r="F100">
            <v>691.03</v>
          </cell>
          <cell r="G100">
            <v>376.1</v>
          </cell>
          <cell r="H100">
            <v>376.1</v>
          </cell>
          <cell r="I100">
            <v>376.1</v>
          </cell>
        </row>
        <row r="176">
          <cell r="C176">
            <v>342.86</v>
          </cell>
          <cell r="D176">
            <v>0</v>
          </cell>
          <cell r="E176">
            <v>0</v>
          </cell>
          <cell r="F176">
            <v>30.05</v>
          </cell>
          <cell r="G176">
            <v>17.28</v>
          </cell>
        </row>
        <row r="180">
          <cell r="C180">
            <v>0</v>
          </cell>
          <cell r="D180">
            <v>0</v>
          </cell>
          <cell r="E180">
            <v>400</v>
          </cell>
          <cell r="F180">
            <v>814.94</v>
          </cell>
          <cell r="G180">
            <v>1050</v>
          </cell>
        </row>
        <row r="182">
          <cell r="C182">
            <v>0</v>
          </cell>
          <cell r="D182">
            <v>-138.72</v>
          </cell>
          <cell r="E182">
            <v>-100.72</v>
          </cell>
          <cell r="F182">
            <v>0</v>
          </cell>
          <cell r="G182">
            <v>0</v>
          </cell>
        </row>
        <row r="183">
          <cell r="C183">
            <v>0</v>
          </cell>
          <cell r="D183">
            <v>0</v>
          </cell>
          <cell r="E183">
            <v>0</v>
          </cell>
          <cell r="F183">
            <v>-42</v>
          </cell>
          <cell r="G183">
            <v>0</v>
          </cell>
        </row>
        <row r="186">
          <cell r="C186">
            <v>0</v>
          </cell>
          <cell r="D186">
            <v>0</v>
          </cell>
          <cell r="E186">
            <v>-0.35</v>
          </cell>
          <cell r="F186">
            <v>-0.21</v>
          </cell>
          <cell r="G186">
            <v>0</v>
          </cell>
        </row>
        <row r="188">
          <cell r="C188">
            <v>0</v>
          </cell>
          <cell r="D188">
            <v>0</v>
          </cell>
          <cell r="E188">
            <v>0</v>
          </cell>
          <cell r="F188">
            <v>0</v>
          </cell>
          <cell r="G188">
            <v>29.93</v>
          </cell>
        </row>
        <row r="189">
          <cell r="C189">
            <v>0</v>
          </cell>
          <cell r="D189">
            <v>2.21</v>
          </cell>
          <cell r="E189">
            <v>-2.5299999999999998</v>
          </cell>
          <cell r="F189">
            <v>-0.64</v>
          </cell>
          <cell r="G189">
            <v>0</v>
          </cell>
        </row>
      </sheetData>
      <sheetData sheetId="9"/>
      <sheetData sheetId="10"/>
      <sheetData sheetId="11">
        <row r="1">
          <cell r="L1" t="str">
            <v>Currently Running: Base Case Scenario</v>
          </cell>
        </row>
        <row r="11">
          <cell r="K11">
            <v>22681.316999999999</v>
          </cell>
          <cell r="L11">
            <v>26761.444</v>
          </cell>
        </row>
        <row r="17">
          <cell r="K17">
            <v>710.51</v>
          </cell>
          <cell r="L17">
            <v>782.99</v>
          </cell>
        </row>
        <row r="31">
          <cell r="F31">
            <v>2147.2400000000002</v>
          </cell>
          <cell r="G31">
            <v>3594.92</v>
          </cell>
          <cell r="H31">
            <v>4263.29</v>
          </cell>
          <cell r="I31">
            <v>4611.34</v>
          </cell>
          <cell r="J31">
            <v>4693.7299999999996</v>
          </cell>
        </row>
        <row r="47">
          <cell r="F47">
            <v>1004.5999999999999</v>
          </cell>
          <cell r="G47">
            <v>1239.8599999999999</v>
          </cell>
          <cell r="H47">
            <v>1422.51</v>
          </cell>
          <cell r="I47">
            <v>1518.95</v>
          </cell>
          <cell r="J47">
            <v>1564.8</v>
          </cell>
        </row>
        <row r="63">
          <cell r="F63">
            <v>846.82</v>
          </cell>
          <cell r="G63">
            <v>963.33</v>
          </cell>
          <cell r="H63">
            <v>799.94</v>
          </cell>
          <cell r="I63">
            <v>664.45</v>
          </cell>
          <cell r="J63">
            <v>670.79</v>
          </cell>
        </row>
        <row r="79">
          <cell r="F79">
            <v>257.09000000000003</v>
          </cell>
          <cell r="G79">
            <v>561.22</v>
          </cell>
          <cell r="H79">
            <v>750.21</v>
          </cell>
          <cell r="I79">
            <v>815.77</v>
          </cell>
          <cell r="J79">
            <v>963.21</v>
          </cell>
        </row>
        <row r="107">
          <cell r="F107">
            <v>214.5</v>
          </cell>
          <cell r="G107">
            <v>328.86</v>
          </cell>
          <cell r="H107">
            <v>440.78</v>
          </cell>
          <cell r="I107">
            <v>535.36</v>
          </cell>
          <cell r="J107">
            <v>603.46</v>
          </cell>
        </row>
        <row r="119">
          <cell r="F119">
            <v>0</v>
          </cell>
          <cell r="G119">
            <v>0</v>
          </cell>
          <cell r="H119">
            <v>4.84</v>
          </cell>
          <cell r="I119">
            <v>206.47</v>
          </cell>
          <cell r="J119">
            <v>540.66</v>
          </cell>
          <cell r="K119">
            <v>946.15499999999997</v>
          </cell>
          <cell r="L119">
            <v>1561.1559999999999</v>
          </cell>
        </row>
        <row r="131">
          <cell r="F131">
            <v>0</v>
          </cell>
          <cell r="G131">
            <v>0</v>
          </cell>
          <cell r="H131">
            <v>0</v>
          </cell>
          <cell r="I131">
            <v>163.55000000000001</v>
          </cell>
          <cell r="J131">
            <v>194.63</v>
          </cell>
          <cell r="K131">
            <v>237.44900000000001</v>
          </cell>
          <cell r="L131">
            <v>296.81099999999998</v>
          </cell>
        </row>
        <row r="143">
          <cell r="F143">
            <v>224.94999999999996</v>
          </cell>
          <cell r="G143">
            <v>291.67</v>
          </cell>
          <cell r="H143">
            <v>326.04000000000008</v>
          </cell>
          <cell r="I143">
            <v>347.31000000000012</v>
          </cell>
          <cell r="J143">
            <v>347.85000000000008</v>
          </cell>
        </row>
        <row r="172">
          <cell r="K172">
            <v>-226.81</v>
          </cell>
          <cell r="L172">
            <v>-267.61</v>
          </cell>
        </row>
        <row r="182">
          <cell r="K182">
            <v>1995.96</v>
          </cell>
          <cell r="L182">
            <v>2408.5300000000002</v>
          </cell>
        </row>
        <row r="190">
          <cell r="K190">
            <v>0</v>
          </cell>
          <cell r="L190">
            <v>0</v>
          </cell>
        </row>
        <row r="198">
          <cell r="K198">
            <v>3288.79</v>
          </cell>
          <cell r="L198">
            <v>3880.41</v>
          </cell>
        </row>
        <row r="206">
          <cell r="K206">
            <v>436.62</v>
          </cell>
          <cell r="L206">
            <v>538.52</v>
          </cell>
        </row>
        <row r="207">
          <cell r="K207">
            <v>240.06</v>
          </cell>
          <cell r="L207">
            <v>282.36</v>
          </cell>
        </row>
        <row r="208">
          <cell r="K208">
            <v>1.98</v>
          </cell>
          <cell r="L208">
            <v>1.98</v>
          </cell>
        </row>
        <row r="209">
          <cell r="K209">
            <v>0.21</v>
          </cell>
          <cell r="L209">
            <v>0.21</v>
          </cell>
        </row>
        <row r="212">
          <cell r="K212">
            <v>385.58</v>
          </cell>
          <cell r="L212">
            <v>401.42</v>
          </cell>
        </row>
        <row r="220">
          <cell r="K220">
            <v>0</v>
          </cell>
          <cell r="L220">
            <v>0</v>
          </cell>
        </row>
        <row r="228">
          <cell r="K228">
            <v>0</v>
          </cell>
          <cell r="L228">
            <v>0</v>
          </cell>
        </row>
        <row r="236">
          <cell r="K236">
            <v>0</v>
          </cell>
          <cell r="L236">
            <v>0</v>
          </cell>
        </row>
        <row r="244">
          <cell r="K244">
            <v>0</v>
          </cell>
          <cell r="L244">
            <v>0</v>
          </cell>
        </row>
        <row r="252">
          <cell r="K252">
            <v>0.25</v>
          </cell>
          <cell r="L252">
            <v>0.25</v>
          </cell>
        </row>
        <row r="256">
          <cell r="K256">
            <v>0.63900000000000001</v>
          </cell>
          <cell r="L256">
            <v>0.63900000000000001</v>
          </cell>
        </row>
        <row r="259">
          <cell r="K259">
            <v>0.36099999999999999</v>
          </cell>
          <cell r="L259">
            <v>0.36099999999999999</v>
          </cell>
        </row>
        <row r="263">
          <cell r="K263">
            <v>1248.72</v>
          </cell>
          <cell r="L263">
            <v>1248.72</v>
          </cell>
        </row>
        <row r="264">
          <cell r="K264">
            <v>36.909999999999997</v>
          </cell>
          <cell r="L264">
            <v>36.909999999999997</v>
          </cell>
        </row>
        <row r="265">
          <cell r="K265">
            <v>5.46</v>
          </cell>
          <cell r="L265">
            <v>5.46</v>
          </cell>
        </row>
        <row r="266">
          <cell r="K266">
            <v>25.4</v>
          </cell>
          <cell r="L266">
            <v>25.4</v>
          </cell>
        </row>
        <row r="267">
          <cell r="K267">
            <v>76.819999999999993</v>
          </cell>
          <cell r="L267">
            <v>76.819999999999993</v>
          </cell>
        </row>
        <row r="268">
          <cell r="K268">
            <v>85.07</v>
          </cell>
          <cell r="L268">
            <v>85.07</v>
          </cell>
        </row>
        <row r="269">
          <cell r="K269">
            <v>123.99</v>
          </cell>
          <cell r="L269">
            <v>123.99</v>
          </cell>
        </row>
        <row r="270">
          <cell r="K270">
            <v>239.22</v>
          </cell>
          <cell r="L270">
            <v>239.22</v>
          </cell>
        </row>
        <row r="271">
          <cell r="K271">
            <v>73.31</v>
          </cell>
          <cell r="L271">
            <v>73.31</v>
          </cell>
        </row>
        <row r="275">
          <cell r="K275">
            <v>1399.87</v>
          </cell>
          <cell r="L275">
            <v>1899.87</v>
          </cell>
        </row>
        <row r="276">
          <cell r="K276">
            <v>0.32</v>
          </cell>
          <cell r="L276">
            <v>0.32</v>
          </cell>
        </row>
        <row r="277">
          <cell r="K277">
            <v>4.62</v>
          </cell>
          <cell r="L277">
            <v>4.62</v>
          </cell>
        </row>
        <row r="278">
          <cell r="K278">
            <v>243.45</v>
          </cell>
          <cell r="L278">
            <v>243.45</v>
          </cell>
        </row>
        <row r="279">
          <cell r="K279">
            <v>639.15</v>
          </cell>
          <cell r="L279">
            <v>639.15</v>
          </cell>
        </row>
        <row r="280">
          <cell r="K280">
            <v>4.28</v>
          </cell>
          <cell r="L280">
            <v>4.28</v>
          </cell>
        </row>
        <row r="284">
          <cell r="K284">
            <v>2420.35</v>
          </cell>
          <cell r="L284">
            <v>2420.35</v>
          </cell>
        </row>
        <row r="285">
          <cell r="K285">
            <v>0</v>
          </cell>
          <cell r="L285">
            <v>0</v>
          </cell>
        </row>
        <row r="286">
          <cell r="K286">
            <v>2.69</v>
          </cell>
          <cell r="L286">
            <v>2.69</v>
          </cell>
        </row>
        <row r="287">
          <cell r="K287">
            <v>95.76</v>
          </cell>
          <cell r="L287">
            <v>95.76</v>
          </cell>
        </row>
        <row r="288">
          <cell r="K288">
            <v>0.48</v>
          </cell>
          <cell r="L288">
            <v>0.48</v>
          </cell>
        </row>
        <row r="289">
          <cell r="K289">
            <v>239.5</v>
          </cell>
          <cell r="L289">
            <v>239.5</v>
          </cell>
        </row>
        <row r="293">
          <cell r="K293">
            <v>605.48</v>
          </cell>
          <cell r="L293">
            <v>605.48</v>
          </cell>
        </row>
        <row r="294">
          <cell r="K294">
            <v>4.66</v>
          </cell>
          <cell r="L294">
            <v>4.66</v>
          </cell>
        </row>
        <row r="295">
          <cell r="K295">
            <v>692.67</v>
          </cell>
          <cell r="L295">
            <v>692.67</v>
          </cell>
        </row>
        <row r="296">
          <cell r="K296">
            <v>288.12</v>
          </cell>
          <cell r="L296">
            <v>288.12</v>
          </cell>
        </row>
        <row r="297">
          <cell r="K297">
            <v>0</v>
          </cell>
          <cell r="L297">
            <v>0</v>
          </cell>
        </row>
        <row r="298">
          <cell r="K298">
            <v>34.950000000000003</v>
          </cell>
          <cell r="L298">
            <v>34.950000000000003</v>
          </cell>
        </row>
        <row r="299">
          <cell r="K299">
            <v>64.27</v>
          </cell>
          <cell r="L299">
            <v>64.27</v>
          </cell>
        </row>
        <row r="305">
          <cell r="K305">
            <v>57</v>
          </cell>
          <cell r="L305">
            <v>56</v>
          </cell>
        </row>
        <row r="311">
          <cell r="K311">
            <v>57</v>
          </cell>
          <cell r="L311">
            <v>56</v>
          </cell>
        </row>
        <row r="318">
          <cell r="K318">
            <v>5.3</v>
          </cell>
          <cell r="L318">
            <v>4.3</v>
          </cell>
        </row>
        <row r="324">
          <cell r="K324">
            <v>79</v>
          </cell>
          <cell r="L324">
            <v>80</v>
          </cell>
        </row>
        <row r="332">
          <cell r="K332">
            <v>29.65</v>
          </cell>
          <cell r="L332">
            <v>29.65</v>
          </cell>
        </row>
        <row r="333">
          <cell r="K333">
            <v>0</v>
          </cell>
          <cell r="L333">
            <v>0</v>
          </cell>
        </row>
        <row r="334">
          <cell r="K334">
            <v>0</v>
          </cell>
          <cell r="L334">
            <v>0</v>
          </cell>
        </row>
        <row r="335">
          <cell r="K335">
            <v>0</v>
          </cell>
          <cell r="L335">
            <v>0</v>
          </cell>
        </row>
        <row r="336">
          <cell r="K336">
            <v>0</v>
          </cell>
          <cell r="L336">
            <v>0</v>
          </cell>
        </row>
        <row r="337">
          <cell r="K337">
            <v>-125.99</v>
          </cell>
          <cell r="L337">
            <v>-170.99</v>
          </cell>
        </row>
        <row r="338">
          <cell r="K338">
            <v>0</v>
          </cell>
          <cell r="L338">
            <v>0</v>
          </cell>
        </row>
        <row r="339">
          <cell r="K339">
            <v>0</v>
          </cell>
          <cell r="L339">
            <v>0</v>
          </cell>
        </row>
        <row r="340">
          <cell r="K340">
            <v>0</v>
          </cell>
          <cell r="L340">
            <v>0</v>
          </cell>
        </row>
        <row r="341">
          <cell r="K341">
            <v>0</v>
          </cell>
          <cell r="L341">
            <v>0</v>
          </cell>
        </row>
        <row r="342">
          <cell r="K342">
            <v>0</v>
          </cell>
          <cell r="L342">
            <v>0</v>
          </cell>
        </row>
        <row r="343">
          <cell r="K343">
            <v>0</v>
          </cell>
          <cell r="L343">
            <v>0</v>
          </cell>
        </row>
        <row r="344">
          <cell r="K344">
            <v>0</v>
          </cell>
          <cell r="L344">
            <v>0</v>
          </cell>
        </row>
        <row r="345">
          <cell r="K345">
            <v>0</v>
          </cell>
          <cell r="L345">
            <v>0</v>
          </cell>
        </row>
        <row r="346">
          <cell r="K346">
            <v>0</v>
          </cell>
          <cell r="L346">
            <v>0</v>
          </cell>
        </row>
        <row r="351">
          <cell r="K351">
            <v>0</v>
          </cell>
          <cell r="L351">
            <v>0</v>
          </cell>
        </row>
        <row r="352">
          <cell r="K352">
            <v>0</v>
          </cell>
          <cell r="L352">
            <v>0</v>
          </cell>
        </row>
        <row r="353">
          <cell r="K353">
            <v>0</v>
          </cell>
          <cell r="L353">
            <v>0</v>
          </cell>
        </row>
        <row r="354">
          <cell r="K354">
            <v>0</v>
          </cell>
          <cell r="L354">
            <v>0</v>
          </cell>
        </row>
        <row r="355">
          <cell r="K355">
            <v>0</v>
          </cell>
          <cell r="L355">
            <v>0</v>
          </cell>
        </row>
        <row r="356">
          <cell r="K356">
            <v>0</v>
          </cell>
          <cell r="L356">
            <v>0</v>
          </cell>
        </row>
        <row r="357">
          <cell r="K357">
            <v>0</v>
          </cell>
          <cell r="L357">
            <v>0</v>
          </cell>
        </row>
        <row r="358">
          <cell r="K358">
            <v>0</v>
          </cell>
          <cell r="L358">
            <v>0</v>
          </cell>
        </row>
        <row r="359">
          <cell r="K359">
            <v>125</v>
          </cell>
          <cell r="L359">
            <v>148</v>
          </cell>
        </row>
        <row r="360">
          <cell r="K360">
            <v>0</v>
          </cell>
          <cell r="L360">
            <v>0</v>
          </cell>
        </row>
        <row r="361">
          <cell r="K361">
            <v>0</v>
          </cell>
          <cell r="L361">
            <v>0</v>
          </cell>
        </row>
        <row r="365">
          <cell r="K365">
            <v>0</v>
          </cell>
          <cell r="L365">
            <v>0</v>
          </cell>
        </row>
        <row r="366">
          <cell r="K366">
            <v>0</v>
          </cell>
          <cell r="L366">
            <v>0</v>
          </cell>
        </row>
        <row r="367">
          <cell r="K367">
            <v>0</v>
          </cell>
          <cell r="L367">
            <v>0</v>
          </cell>
        </row>
        <row r="368">
          <cell r="K368">
            <v>0</v>
          </cell>
          <cell r="L368">
            <v>0</v>
          </cell>
        </row>
        <row r="369">
          <cell r="K369">
            <v>0</v>
          </cell>
          <cell r="L369">
            <v>0</v>
          </cell>
        </row>
        <row r="370">
          <cell r="K370">
            <v>0</v>
          </cell>
          <cell r="L370">
            <v>0</v>
          </cell>
        </row>
        <row r="371">
          <cell r="K371">
            <v>0</v>
          </cell>
          <cell r="L371">
            <v>0</v>
          </cell>
        </row>
        <row r="383">
          <cell r="K383">
            <v>25</v>
          </cell>
          <cell r="L383">
            <v>25</v>
          </cell>
        </row>
        <row r="391">
          <cell r="F391">
            <v>1193.3499999999999</v>
          </cell>
          <cell r="G391">
            <v>1624.7</v>
          </cell>
          <cell r="H391">
            <v>2546.6</v>
          </cell>
          <cell r="I391">
            <v>3736.6</v>
          </cell>
          <cell r="J391">
            <v>2769.35</v>
          </cell>
        </row>
        <row r="393">
          <cell r="F393">
            <v>67.48</v>
          </cell>
          <cell r="G393">
            <v>67.52</v>
          </cell>
          <cell r="H393">
            <v>67.58</v>
          </cell>
          <cell r="I393">
            <v>67.69</v>
          </cell>
          <cell r="J393">
            <v>67.72</v>
          </cell>
        </row>
        <row r="396">
          <cell r="F396">
            <v>3.5</v>
          </cell>
          <cell r="G396">
            <v>3.5</v>
          </cell>
          <cell r="H396">
            <v>3.5</v>
          </cell>
          <cell r="I396">
            <v>3.5</v>
          </cell>
          <cell r="J396">
            <v>3.5</v>
          </cell>
        </row>
      </sheetData>
      <sheetData sheetId="12"/>
      <sheetData sheetId="13">
        <row r="131">
          <cell r="J131">
            <v>1266.3599999999999</v>
          </cell>
        </row>
        <row r="133">
          <cell r="J133">
            <v>-64.040000000000006</v>
          </cell>
        </row>
        <row r="141">
          <cell r="J141">
            <v>436.62</v>
          </cell>
        </row>
        <row r="142">
          <cell r="J142">
            <v>-31.200000000000003</v>
          </cell>
        </row>
        <row r="153">
          <cell r="J153">
            <v>3417.16</v>
          </cell>
          <cell r="K153">
            <v>666.35000000000014</v>
          </cell>
        </row>
        <row r="161">
          <cell r="J161">
            <v>1233.1900000000003</v>
          </cell>
        </row>
        <row r="163">
          <cell r="J163">
            <v>-73.78</v>
          </cell>
        </row>
        <row r="171">
          <cell r="J171">
            <v>538.52</v>
          </cell>
        </row>
        <row r="172">
          <cell r="J172">
            <v>-51.540000000000006</v>
          </cell>
        </row>
        <row r="183">
          <cell r="J183">
            <v>4089.5900000000015</v>
          </cell>
          <cell r="K183">
            <v>633.17000000000007</v>
          </cell>
        </row>
      </sheetData>
      <sheetData sheetId="14">
        <row r="126">
          <cell r="M126">
            <v>235</v>
          </cell>
        </row>
        <row r="134">
          <cell r="M134">
            <v>240.06</v>
          </cell>
        </row>
        <row r="141">
          <cell r="M141">
            <v>0</v>
          </cell>
        </row>
        <row r="146">
          <cell r="M146">
            <v>740.57000000000028</v>
          </cell>
        </row>
        <row r="153">
          <cell r="M153">
            <v>240</v>
          </cell>
        </row>
        <row r="161">
          <cell r="M161">
            <v>282.36</v>
          </cell>
        </row>
        <row r="168">
          <cell r="M168">
            <v>0</v>
          </cell>
        </row>
        <row r="173">
          <cell r="M173">
            <v>698.13000000000011</v>
          </cell>
        </row>
      </sheetData>
      <sheetData sheetId="15">
        <row r="100">
          <cell r="G100">
            <v>1.98</v>
          </cell>
        </row>
        <row r="105">
          <cell r="H105">
            <v>605.95999999999981</v>
          </cell>
        </row>
        <row r="120">
          <cell r="G120">
            <v>1.98</v>
          </cell>
        </row>
        <row r="125">
          <cell r="H125">
            <v>636.66</v>
          </cell>
        </row>
      </sheetData>
      <sheetData sheetId="16">
        <row r="13">
          <cell r="F13">
            <v>0.21</v>
          </cell>
          <cell r="G13">
            <v>0.21</v>
          </cell>
        </row>
        <row r="16">
          <cell r="F16">
            <v>11.629999999999999</v>
          </cell>
          <cell r="G16">
            <v>11.419999999999998</v>
          </cell>
        </row>
      </sheetData>
      <sheetData sheetId="17">
        <row r="6">
          <cell r="H6">
            <v>19.350000000000001</v>
          </cell>
          <cell r="I6">
            <v>19.350000000000001</v>
          </cell>
        </row>
        <row r="9">
          <cell r="H9">
            <v>2156.5700000000002</v>
          </cell>
          <cell r="I9">
            <v>2156.5700000000002</v>
          </cell>
        </row>
        <row r="15">
          <cell r="H15">
            <v>-117.83</v>
          </cell>
          <cell r="I15">
            <v>-159.63</v>
          </cell>
        </row>
      </sheetData>
      <sheetData sheetId="18">
        <row r="6">
          <cell r="G6">
            <v>66.8</v>
          </cell>
          <cell r="H6">
            <v>66.8</v>
          </cell>
          <cell r="I6">
            <v>66.8</v>
          </cell>
        </row>
        <row r="7">
          <cell r="G7">
            <v>376.1</v>
          </cell>
          <cell r="H7">
            <v>376.1</v>
          </cell>
          <cell r="I7">
            <v>376.1</v>
          </cell>
        </row>
        <row r="14">
          <cell r="H14">
            <v>70.760000000000005</v>
          </cell>
          <cell r="I14">
            <v>75.69</v>
          </cell>
        </row>
        <row r="23">
          <cell r="H23">
            <v>-45.21</v>
          </cell>
          <cell r="I23">
            <v>-53.75</v>
          </cell>
        </row>
        <row r="26">
          <cell r="H26">
            <v>53.75</v>
          </cell>
          <cell r="I26">
            <v>61.79</v>
          </cell>
        </row>
        <row r="27">
          <cell r="H27">
            <v>244.88</v>
          </cell>
          <cell r="I27">
            <v>281.47000000000003</v>
          </cell>
        </row>
      </sheetData>
      <sheetData sheetId="19"/>
      <sheetData sheetId="20">
        <row r="63">
          <cell r="D63">
            <v>3544.0699999999997</v>
          </cell>
        </row>
        <row r="126">
          <cell r="D126">
            <v>3811.97</v>
          </cell>
        </row>
      </sheetData>
      <sheetData sheetId="21"/>
      <sheetData sheetId="22"/>
      <sheetData sheetId="23"/>
      <sheetData sheetId="24">
        <row r="3">
          <cell r="C3" t="str">
            <v>FY22A</v>
          </cell>
          <cell r="D3" t="str">
            <v>FY21</v>
          </cell>
          <cell r="E3" t="str">
            <v>FY22</v>
          </cell>
          <cell r="F3" t="str">
            <v>FY23</v>
          </cell>
          <cell r="G3" t="str">
            <v>FY24</v>
          </cell>
          <cell r="H3" t="str">
            <v>FY25</v>
          </cell>
        </row>
        <row r="17">
          <cell r="B17" t="str">
            <v>Engineering</v>
          </cell>
          <cell r="D17">
            <v>0.35299999999999998</v>
          </cell>
          <cell r="E17">
            <v>0.28899999999999998</v>
          </cell>
          <cell r="F17">
            <v>0.28499999999999998</v>
          </cell>
          <cell r="G17">
            <v>0.27300000000000002</v>
          </cell>
          <cell r="H17">
            <v>0.24099999999999999</v>
          </cell>
        </row>
        <row r="18">
          <cell r="B18" t="str">
            <v>Metal Formed Products</v>
          </cell>
          <cell r="D18">
            <v>0.16500000000000001</v>
          </cell>
          <cell r="E18">
            <v>0.1</v>
          </cell>
          <cell r="F18">
            <v>9.5000000000000001E-2</v>
          </cell>
          <cell r="G18">
            <v>0.09</v>
          </cell>
          <cell r="H18">
            <v>0.08</v>
          </cell>
        </row>
        <row r="19">
          <cell r="B19" t="str">
            <v>Mobility</v>
          </cell>
          <cell r="D19">
            <v>0.13900000000000001</v>
          </cell>
          <cell r="E19">
            <v>7.6999999999999999E-2</v>
          </cell>
          <cell r="F19">
            <v>5.2999999999999999E-2</v>
          </cell>
          <cell r="G19">
            <v>3.9E-2</v>
          </cell>
          <cell r="H19">
            <v>3.4000000000000002E-2</v>
          </cell>
        </row>
        <row r="20">
          <cell r="B20" t="str">
            <v>Industrial Systems</v>
          </cell>
          <cell r="D20">
            <v>0.16600000000000001</v>
          </cell>
          <cell r="E20">
            <v>0.318</v>
          </cell>
          <cell r="F20">
            <v>0.33</v>
          </cell>
          <cell r="G20">
            <v>0.32100000000000001</v>
          </cell>
          <cell r="H20">
            <v>0.32800000000000001</v>
          </cell>
        </row>
        <row r="21">
          <cell r="B21" t="str">
            <v>Power Systems</v>
          </cell>
          <cell r="D21">
            <v>6.2E-2</v>
          </cell>
          <cell r="E21">
            <v>0.122</v>
          </cell>
          <cell r="F21">
            <v>0.13500000000000001</v>
          </cell>
          <cell r="G21">
            <v>0.154</v>
          </cell>
          <cell r="H21">
            <v>0.18</v>
          </cell>
        </row>
        <row r="22">
          <cell r="B22" t="str">
            <v>Gear and Gear Products</v>
          </cell>
          <cell r="D22">
            <v>3.5000000000000003E-2</v>
          </cell>
          <cell r="E22">
            <v>2.5999999999999999E-2</v>
          </cell>
          <cell r="F22">
            <v>2.9000000000000001E-2</v>
          </cell>
          <cell r="G22">
            <v>3.2000000000000001E-2</v>
          </cell>
          <cell r="H22">
            <v>3.1E-2</v>
          </cell>
        </row>
        <row r="23">
          <cell r="B23" t="str">
            <v>Electric Vehicles</v>
          </cell>
          <cell r="D23">
            <v>0</v>
          </cell>
          <cell r="E23">
            <v>0</v>
          </cell>
          <cell r="F23">
            <v>1E-3</v>
          </cell>
          <cell r="G23">
            <v>1.2E-2</v>
          </cell>
          <cell r="H23">
            <v>2.8000000000000001E-2</v>
          </cell>
        </row>
        <row r="24">
          <cell r="B24" t="str">
            <v>Medical</v>
          </cell>
          <cell r="D24">
            <v>0</v>
          </cell>
          <cell r="E24">
            <v>0</v>
          </cell>
          <cell r="F24">
            <v>0</v>
          </cell>
          <cell r="G24">
            <v>0.01</v>
          </cell>
          <cell r="H24">
            <v>0.01</v>
          </cell>
        </row>
        <row r="25">
          <cell r="B25" t="str">
            <v>Others</v>
          </cell>
          <cell r="D25">
            <v>0.08</v>
          </cell>
          <cell r="E25">
            <v>6.8000000000000005E-2</v>
          </cell>
          <cell r="F25">
            <v>7.1999999999999995E-2</v>
          </cell>
          <cell r="G25">
            <v>6.9000000000000006E-2</v>
          </cell>
          <cell r="H25">
            <v>6.8000000000000005E-2</v>
          </cell>
        </row>
        <row r="30">
          <cell r="B30" t="str">
            <v>Engineering</v>
          </cell>
          <cell r="D30">
            <v>0.11</v>
          </cell>
          <cell r="E30">
            <v>0.1</v>
          </cell>
          <cell r="F30">
            <v>0.12</v>
          </cell>
          <cell r="G30">
            <v>0.13</v>
          </cell>
          <cell r="H30">
            <v>0.12</v>
          </cell>
        </row>
        <row r="31">
          <cell r="B31" t="str">
            <v>Metal Formed Products</v>
          </cell>
          <cell r="D31">
            <v>7.0000000000000007E-2</v>
          </cell>
          <cell r="E31">
            <v>0.11</v>
          </cell>
          <cell r="F31">
            <v>0.12</v>
          </cell>
          <cell r="G31">
            <v>0.12</v>
          </cell>
          <cell r="H31">
            <v>0.1</v>
          </cell>
        </row>
        <row r="32">
          <cell r="B32" t="str">
            <v>Mobility</v>
          </cell>
          <cell r="D32">
            <v>0.05</v>
          </cell>
          <cell r="E32">
            <v>0.04</v>
          </cell>
          <cell r="F32">
            <v>0.02</v>
          </cell>
          <cell r="G32">
            <v>-0.04</v>
          </cell>
          <cell r="H32">
            <v>0.01</v>
          </cell>
        </row>
        <row r="33">
          <cell r="B33" t="str">
            <v>Industrial Systems</v>
          </cell>
          <cell r="D33">
            <v>0.08</v>
          </cell>
          <cell r="E33">
            <v>0.11</v>
          </cell>
          <cell r="F33">
            <v>0.14000000000000001</v>
          </cell>
          <cell r="G33">
            <v>0.13</v>
          </cell>
          <cell r="H33">
            <v>0.11</v>
          </cell>
        </row>
        <row r="34">
          <cell r="B34" t="str">
            <v>Power Systems</v>
          </cell>
          <cell r="D34">
            <v>-7.0000000000000007E-2</v>
          </cell>
          <cell r="E34">
            <v>0.08</v>
          </cell>
          <cell r="F34">
            <v>0.11</v>
          </cell>
          <cell r="G34">
            <v>0.15</v>
          </cell>
          <cell r="H34">
            <v>0.19</v>
          </cell>
        </row>
        <row r="35">
          <cell r="B35" t="str">
            <v>Gear and Gear Products</v>
          </cell>
          <cell r="D35">
            <v>0.12</v>
          </cell>
          <cell r="E35">
            <v>0.17</v>
          </cell>
          <cell r="F35">
            <v>0.2</v>
          </cell>
          <cell r="G35">
            <v>0.2</v>
          </cell>
          <cell r="H35">
            <v>0.22</v>
          </cell>
        </row>
        <row r="36">
          <cell r="B36" t="str">
            <v>Medical</v>
          </cell>
          <cell r="D36" t="str">
            <v>-</v>
          </cell>
          <cell r="E36" t="str">
            <v>-</v>
          </cell>
          <cell r="F36" t="str">
            <v>-</v>
          </cell>
          <cell r="G36">
            <v>7.0000000000000007E-2</v>
          </cell>
          <cell r="H36">
            <v>0.01</v>
          </cell>
        </row>
        <row r="37">
          <cell r="B37" t="str">
            <v>Others</v>
          </cell>
          <cell r="D37">
            <v>0.02</v>
          </cell>
          <cell r="E37">
            <v>0.06</v>
          </cell>
          <cell r="F37">
            <v>0.05</v>
          </cell>
          <cell r="G37">
            <v>0.04</v>
          </cell>
          <cell r="H37">
            <v>0.02</v>
          </cell>
        </row>
        <row r="46">
          <cell r="B46" t="str">
            <v>Within India</v>
          </cell>
          <cell r="D46">
            <v>0.83599999999999997</v>
          </cell>
          <cell r="E46">
            <v>0.85199999999999998</v>
          </cell>
          <cell r="F46">
            <v>0.85899999999999999</v>
          </cell>
          <cell r="G46">
            <v>0.85499999999999998</v>
          </cell>
          <cell r="H46">
            <v>0.872</v>
          </cell>
        </row>
        <row r="47">
          <cell r="B47" t="str">
            <v>Outside India</v>
          </cell>
          <cell r="D47">
            <v>0.16400000000000001</v>
          </cell>
          <cell r="E47">
            <v>0.14799999999999999</v>
          </cell>
          <cell r="F47">
            <v>0.14099999999999999</v>
          </cell>
          <cell r="G47">
            <v>0.14499999999999999</v>
          </cell>
          <cell r="H47">
            <v>0.128</v>
          </cell>
        </row>
      </sheetData>
      <sheetData sheetId="25"/>
      <sheetData sheetId="26"/>
      <sheetData sheetId="27"/>
      <sheetData sheetId="28"/>
      <sheetData sheetId="29"/>
      <sheetData sheetId="30"/>
      <sheetData sheetId="3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
    </sheetNames>
    <sheetDataSet>
      <sheetData sheetId="0"/>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10</v>
    <v>2</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2.xml"/><Relationship Id="rId4" Type="http://schemas.openxmlformats.org/officeDocument/2006/relationships/ctrlProp" Target="../ctrlProps/ctrlProp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50A5D-5F4A-4B20-99FD-AD93E691844F}">
  <sheetPr>
    <tabColor rgb="FF1F4E78"/>
  </sheetPr>
  <dimension ref="A13"/>
  <sheetViews>
    <sheetView showGridLines="0" workbookViewId="0">
      <selection activeCell="I10" sqref="I10"/>
    </sheetView>
  </sheetViews>
  <sheetFormatPr defaultColWidth="8.85546875" defaultRowHeight="15"/>
  <sheetData>
    <row r="13" spans="1:1" ht="39">
      <c r="A13" s="89"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0A82E-A312-4876-8F67-01FE88EC8071}">
  <sheetPr>
    <pageSetUpPr autoPageBreaks="0"/>
  </sheetPr>
  <dimension ref="A2:M201"/>
  <sheetViews>
    <sheetView showGridLines="0" zoomScale="115" zoomScaleNormal="115" workbookViewId="0">
      <pane ySplit="3" topLeftCell="A6" activePane="bottomLeft" state="frozen"/>
      <selection pane="bottomLeft" activeCell="F7" sqref="F7"/>
      <selection activeCell="C10" sqref="C10"/>
    </sheetView>
  </sheetViews>
  <sheetFormatPr defaultColWidth="9.140625" defaultRowHeight="15"/>
  <cols>
    <col min="1" max="1" width="1.85546875" style="1" customWidth="1"/>
    <col min="2" max="2" width="89.28515625" style="1" bestFit="1" customWidth="1"/>
    <col min="3" max="3" width="10.28515625" style="1" customWidth="1"/>
    <col min="4" max="4" width="8.85546875" style="1" customWidth="1"/>
    <col min="5" max="5" width="9.140625" style="1" customWidth="1"/>
    <col min="6" max="6" width="9.140625" style="1"/>
    <col min="7" max="7" width="8.85546875" style="1" customWidth="1"/>
    <col min="8" max="16384" width="9.140625" style="1"/>
  </cols>
  <sheetData>
    <row r="2" spans="1:7" ht="18.95">
      <c r="B2" s="78" t="s">
        <v>1</v>
      </c>
      <c r="C2" s="78"/>
      <c r="D2" s="78"/>
      <c r="E2" s="78"/>
      <c r="F2" s="78"/>
      <c r="G2" s="78"/>
    </row>
    <row r="3" spans="1:7">
      <c r="B3" s="79" t="s">
        <v>2</v>
      </c>
      <c r="C3" s="80" t="s">
        <v>3</v>
      </c>
      <c r="D3" s="80" t="s">
        <v>4</v>
      </c>
      <c r="E3" s="80" t="s">
        <v>5</v>
      </c>
      <c r="F3" s="80" t="s">
        <v>6</v>
      </c>
      <c r="G3" s="80" t="s">
        <v>7</v>
      </c>
    </row>
    <row r="4" spans="1:7">
      <c r="B4" s="2"/>
      <c r="C4" s="3"/>
      <c r="D4" s="3"/>
      <c r="E4" s="3"/>
      <c r="F4" s="3"/>
    </row>
    <row r="5" spans="1:7">
      <c r="A5" s="81" t="s">
        <v>8</v>
      </c>
      <c r="B5" s="81" t="s">
        <v>9</v>
      </c>
      <c r="C5" s="82"/>
      <c r="D5" s="82"/>
      <c r="E5" s="82"/>
      <c r="F5" s="82"/>
      <c r="G5" s="82"/>
    </row>
    <row r="6" spans="1:7">
      <c r="A6" s="4"/>
      <c r="B6" s="4"/>
      <c r="C6" s="5"/>
      <c r="D6" s="5"/>
      <c r="E6" s="5"/>
      <c r="F6" s="5"/>
    </row>
    <row r="7" spans="1:7">
      <c r="B7" s="1" t="s">
        <v>10</v>
      </c>
      <c r="C7" s="83">
        <v>12549.6</v>
      </c>
      <c r="D7" s="83">
        <v>17118.79</v>
      </c>
      <c r="E7" s="83">
        <v>20851.91</v>
      </c>
      <c r="F7" s="83">
        <v>26710.560000000001</v>
      </c>
      <c r="G7" s="83">
        <v>30475.33</v>
      </c>
    </row>
    <row r="8" spans="1:7">
      <c r="B8" s="1" t="s">
        <v>11</v>
      </c>
      <c r="C8" s="83">
        <v>0</v>
      </c>
      <c r="D8" s="83">
        <v>0</v>
      </c>
      <c r="E8" s="83">
        <v>0</v>
      </c>
      <c r="F8" s="83">
        <v>0</v>
      </c>
      <c r="G8" s="83">
        <v>0</v>
      </c>
    </row>
    <row r="9" spans="1:7">
      <c r="B9" s="7" t="s">
        <v>12</v>
      </c>
      <c r="C9" s="8">
        <f t="shared" ref="C9:E9" si="0">ROUND(SUM(C7:C8),2)</f>
        <v>12549.6</v>
      </c>
      <c r="D9" s="8">
        <f t="shared" si="0"/>
        <v>17118.79</v>
      </c>
      <c r="E9" s="8">
        <f t="shared" si="0"/>
        <v>20851.91</v>
      </c>
      <c r="F9" s="8">
        <f>ROUND(SUM(F7:F8),2)</f>
        <v>26710.560000000001</v>
      </c>
      <c r="G9" s="8">
        <f>ROUND(SUM(G7:G8),2)</f>
        <v>30475.33</v>
      </c>
    </row>
    <row r="10" spans="1:7">
      <c r="B10" s="1" t="s">
        <v>13</v>
      </c>
      <c r="C10" s="83">
        <v>3259.49</v>
      </c>
      <c r="D10" s="83">
        <v>4865.1099999999997</v>
      </c>
      <c r="E10" s="83">
        <v>5654.56</v>
      </c>
      <c r="F10" s="83">
        <v>7116.34</v>
      </c>
      <c r="G10" s="83">
        <v>8069.75</v>
      </c>
    </row>
    <row r="11" spans="1:7" hidden="1">
      <c r="C11" s="83"/>
      <c r="D11" s="83"/>
      <c r="E11" s="83"/>
      <c r="F11" s="83"/>
      <c r="G11" s="83"/>
    </row>
    <row r="12" spans="1:7" hidden="1">
      <c r="C12" s="83"/>
      <c r="D12" s="83"/>
      <c r="E12" s="83"/>
      <c r="F12" s="83"/>
      <c r="G12" s="83"/>
    </row>
    <row r="13" spans="1:7">
      <c r="B13" s="7" t="s">
        <v>14</v>
      </c>
      <c r="C13" s="8">
        <f>ROUND(C9-SUM(C10:C10),2)</f>
        <v>9290.11</v>
      </c>
      <c r="D13" s="8">
        <f>ROUND(D9-SUM(D10:D10),2)</f>
        <v>12253.68</v>
      </c>
      <c r="E13" s="8">
        <f>ROUND(E9-SUM(E10:E10),2)</f>
        <v>15197.35</v>
      </c>
      <c r="F13" s="8">
        <f>ROUND(F9-SUM(F10:F10),2)</f>
        <v>19594.22</v>
      </c>
      <c r="G13" s="8">
        <f>ROUND(G9-SUM(G10:G10),2)</f>
        <v>22405.58</v>
      </c>
    </row>
    <row r="14" spans="1:7">
      <c r="B14" s="1" t="s">
        <v>15</v>
      </c>
      <c r="C14" s="83">
        <v>615.04999999999995</v>
      </c>
      <c r="D14" s="83">
        <v>779.43</v>
      </c>
      <c r="E14" s="83">
        <v>1178.17</v>
      </c>
      <c r="F14" s="83">
        <v>1896.4</v>
      </c>
      <c r="G14" s="83">
        <v>2008.66</v>
      </c>
    </row>
    <row r="15" spans="1:7">
      <c r="B15" s="1" t="s">
        <v>16</v>
      </c>
      <c r="C15" s="83">
        <v>0</v>
      </c>
      <c r="D15" s="83">
        <v>0</v>
      </c>
      <c r="E15" s="83">
        <v>0</v>
      </c>
      <c r="F15" s="83">
        <v>0</v>
      </c>
      <c r="G15" s="83">
        <v>0</v>
      </c>
    </row>
    <row r="16" spans="1:7">
      <c r="B16" s="1" t="s">
        <v>17</v>
      </c>
      <c r="C16" s="83">
        <f>691.62-715.24</f>
        <v>-23.620000000000005</v>
      </c>
      <c r="D16" s="83">
        <f>1077.74+872.07</f>
        <v>1949.81</v>
      </c>
      <c r="E16" s="83">
        <f>1185.73+1886.32</f>
        <v>3072.05</v>
      </c>
      <c r="F16" s="83">
        <f>1833.9+112.82</f>
        <v>1946.72</v>
      </c>
      <c r="G16" s="83">
        <f>1975.55+280.85</f>
        <v>2256.4</v>
      </c>
    </row>
    <row r="17" spans="2:8">
      <c r="B17" s="7" t="s">
        <v>18</v>
      </c>
      <c r="C17" s="8">
        <f>ROUND(C13-SUM(C14:C16),2)</f>
        <v>8698.68</v>
      </c>
      <c r="D17" s="8">
        <f t="shared" ref="D17:F17" si="1">ROUND(D13-SUM(D14:D16),2)</f>
        <v>9524.44</v>
      </c>
      <c r="E17" s="8">
        <f t="shared" si="1"/>
        <v>10947.13</v>
      </c>
      <c r="F17" s="8">
        <f t="shared" si="1"/>
        <v>15751.1</v>
      </c>
      <c r="G17" s="8">
        <f>ROUND(G13-SUM(G14:G16),2)</f>
        <v>18140.52</v>
      </c>
    </row>
    <row r="18" spans="2:8">
      <c r="B18" s="1" t="s">
        <v>19</v>
      </c>
      <c r="C18" s="83">
        <v>2107.34</v>
      </c>
      <c r="D18" s="83">
        <v>3099.3</v>
      </c>
      <c r="E18" s="83">
        <v>3423.24</v>
      </c>
      <c r="F18" s="83">
        <v>3888.46</v>
      </c>
      <c r="G18" s="83">
        <v>4378.93</v>
      </c>
    </row>
    <row r="19" spans="2:8">
      <c r="B19" s="7" t="s">
        <v>20</v>
      </c>
      <c r="C19" s="8">
        <f>ROUND(C17-C18,2)</f>
        <v>6591.34</v>
      </c>
      <c r="D19" s="8">
        <f t="shared" ref="D19:G19" si="2">ROUND(D17-D18,2)</f>
        <v>6425.14</v>
      </c>
      <c r="E19" s="8">
        <f t="shared" si="2"/>
        <v>7523.89</v>
      </c>
      <c r="F19" s="8">
        <f t="shared" si="2"/>
        <v>11862.64</v>
      </c>
      <c r="G19" s="8">
        <f t="shared" si="2"/>
        <v>13761.59</v>
      </c>
    </row>
    <row r="20" spans="2:8">
      <c r="B20" s="1" t="s">
        <v>21</v>
      </c>
      <c r="C20" s="83">
        <f>2129.16+126.13</f>
        <v>2255.29</v>
      </c>
      <c r="D20" s="83">
        <f>2559.61-15.69</f>
        <v>2543.92</v>
      </c>
      <c r="E20" s="83">
        <f>2593.62-230.98</f>
        <v>2362.64</v>
      </c>
      <c r="F20" s="83">
        <f>2784.41-51.47</f>
        <v>2732.94</v>
      </c>
      <c r="G20" s="83">
        <f>2778-246.18</f>
        <v>2531.8200000000002</v>
      </c>
    </row>
    <row r="21" spans="2:8">
      <c r="B21" s="1" t="s">
        <v>22</v>
      </c>
      <c r="C21" s="83">
        <v>1970.23</v>
      </c>
      <c r="D21" s="83">
        <v>2223.7199999999998</v>
      </c>
      <c r="E21" s="83">
        <v>1553.48</v>
      </c>
      <c r="F21" s="83">
        <v>1499.42</v>
      </c>
      <c r="G21" s="83">
        <f>1304.48+603.27</f>
        <v>1907.75</v>
      </c>
    </row>
    <row r="22" spans="2:8">
      <c r="B22" s="7" t="s">
        <v>23</v>
      </c>
      <c r="C22" s="8">
        <f>ROUND(C19-C20+C21,2)</f>
        <v>6306.28</v>
      </c>
      <c r="D22" s="8">
        <f t="shared" ref="D22:G22" si="3">ROUND(D19-D20+D21,2)</f>
        <v>6104.94</v>
      </c>
      <c r="E22" s="8">
        <f t="shared" si="3"/>
        <v>6714.73</v>
      </c>
      <c r="F22" s="8">
        <f t="shared" si="3"/>
        <v>10629.12</v>
      </c>
      <c r="G22" s="8">
        <f t="shared" si="3"/>
        <v>13137.52</v>
      </c>
    </row>
    <row r="23" spans="2:8">
      <c r="B23" s="1" t="s">
        <v>24</v>
      </c>
      <c r="C23" s="83">
        <v>-14.27</v>
      </c>
      <c r="D23" s="83">
        <v>17.39</v>
      </c>
      <c r="E23" s="83">
        <v>47.78</v>
      </c>
      <c r="F23" s="83">
        <v>-161.69</v>
      </c>
      <c r="G23" s="83">
        <v>141.56</v>
      </c>
    </row>
    <row r="24" spans="2:8">
      <c r="B24" s="7" t="s">
        <v>25</v>
      </c>
      <c r="C24" s="8">
        <f>ROUND(SUM(C22:C23),2)</f>
        <v>6292.01</v>
      </c>
      <c r="D24" s="8">
        <f t="shared" ref="D24:G24" si="4">ROUND(SUM(D22:D23),2)</f>
        <v>6122.33</v>
      </c>
      <c r="E24" s="8">
        <f t="shared" si="4"/>
        <v>6762.51</v>
      </c>
      <c r="F24" s="8">
        <f t="shared" si="4"/>
        <v>10467.43</v>
      </c>
      <c r="G24" s="8">
        <f t="shared" si="4"/>
        <v>13279.08</v>
      </c>
    </row>
    <row r="25" spans="2:8">
      <c r="B25" s="1" t="s">
        <v>26</v>
      </c>
      <c r="C25" s="83">
        <v>0</v>
      </c>
      <c r="D25" s="83">
        <v>-405.19</v>
      </c>
      <c r="E25" s="83">
        <v>-1273.3800000000001</v>
      </c>
      <c r="F25" s="83">
        <v>-373.7</v>
      </c>
      <c r="G25" s="83">
        <v>-249.46</v>
      </c>
    </row>
    <row r="26" spans="2:8">
      <c r="B26" s="7" t="s">
        <v>27</v>
      </c>
      <c r="C26" s="8">
        <f>ROUND(SUM(C24:C25),2)</f>
        <v>6292.01</v>
      </c>
      <c r="D26" s="8">
        <f t="shared" ref="D26:G26" si="5">ROUND(SUM(D24:D25),2)</f>
        <v>5717.14</v>
      </c>
      <c r="E26" s="8">
        <f t="shared" si="5"/>
        <v>5489.13</v>
      </c>
      <c r="F26" s="8">
        <f t="shared" si="5"/>
        <v>10093.73</v>
      </c>
      <c r="G26" s="8">
        <f t="shared" si="5"/>
        <v>13029.62</v>
      </c>
    </row>
    <row r="27" spans="2:8">
      <c r="B27" s="1" t="s">
        <v>28</v>
      </c>
      <c r="C27" s="83">
        <v>1271.51</v>
      </c>
      <c r="D27" s="83">
        <v>888.2</v>
      </c>
      <c r="E27" s="83">
        <v>977.9</v>
      </c>
      <c r="F27" s="83">
        <v>1134.73</v>
      </c>
      <c r="G27" s="83">
        <v>2221.87</v>
      </c>
    </row>
    <row r="28" spans="2:8">
      <c r="B28" s="1" t="s">
        <v>29</v>
      </c>
      <c r="C28" s="83">
        <v>-130.63</v>
      </c>
      <c r="D28" s="83">
        <v>0</v>
      </c>
      <c r="E28" s="83">
        <v>0</v>
      </c>
      <c r="F28" s="83">
        <v>455.16</v>
      </c>
      <c r="G28" s="83">
        <v>0</v>
      </c>
    </row>
    <row r="29" spans="2:8">
      <c r="B29" s="1" t="s">
        <v>30</v>
      </c>
      <c r="C29" s="83">
        <v>102.39</v>
      </c>
      <c r="D29" s="83">
        <v>-124.24</v>
      </c>
      <c r="E29" s="83">
        <v>-881.52</v>
      </c>
      <c r="F29" s="83">
        <v>399.85</v>
      </c>
      <c r="G29" s="83">
        <v>-253.51</v>
      </c>
      <c r="H29" s="6"/>
    </row>
    <row r="30" spans="2:8">
      <c r="B30" s="9" t="s">
        <v>31</v>
      </c>
      <c r="C30" s="10">
        <f>ROUND(C26-SUM(C27:C29),2)</f>
        <v>5048.74</v>
      </c>
      <c r="D30" s="10">
        <f t="shared" ref="D30:G30" si="6">ROUND(D26-SUM(D27:D29),2)</f>
        <v>4953.18</v>
      </c>
      <c r="E30" s="10">
        <f t="shared" si="6"/>
        <v>5392.75</v>
      </c>
      <c r="F30" s="10">
        <f>ROUND(F26-SUM(F27:F29),2)</f>
        <v>8103.99</v>
      </c>
      <c r="G30" s="10">
        <f t="shared" si="6"/>
        <v>11061.26</v>
      </c>
      <c r="H30" s="11"/>
    </row>
    <row r="31" spans="2:8">
      <c r="B31" s="1" t="s">
        <v>32</v>
      </c>
      <c r="C31" s="83">
        <v>0</v>
      </c>
      <c r="D31" s="83">
        <v>0</v>
      </c>
      <c r="E31" s="83">
        <v>0</v>
      </c>
      <c r="F31" s="83">
        <v>0</v>
      </c>
      <c r="G31" s="83">
        <v>0</v>
      </c>
      <c r="H31" s="11"/>
    </row>
    <row r="32" spans="2:8">
      <c r="B32" s="1" t="s">
        <v>33</v>
      </c>
      <c r="C32" s="83">
        <v>0</v>
      </c>
      <c r="D32" s="83">
        <v>0</v>
      </c>
      <c r="E32" s="83">
        <v>0</v>
      </c>
      <c r="F32" s="83">
        <v>0</v>
      </c>
      <c r="G32" s="83">
        <v>0</v>
      </c>
      <c r="H32" s="11"/>
    </row>
    <row r="33" spans="1:8">
      <c r="B33" s="9" t="s">
        <v>34</v>
      </c>
      <c r="C33" s="10">
        <f>ROUND(SUM(C31:C32),2)</f>
        <v>0</v>
      </c>
      <c r="D33" s="10">
        <f t="shared" ref="D33:G33" si="7">ROUND(SUM(D31:D32),2)</f>
        <v>0</v>
      </c>
      <c r="E33" s="10">
        <f t="shared" si="7"/>
        <v>0</v>
      </c>
      <c r="F33" s="10">
        <f t="shared" si="7"/>
        <v>0</v>
      </c>
      <c r="G33" s="10">
        <f t="shared" si="7"/>
        <v>0</v>
      </c>
      <c r="H33" s="11"/>
    </row>
    <row r="34" spans="1:8">
      <c r="B34" s="12" t="s">
        <v>35</v>
      </c>
      <c r="C34" s="13">
        <f>ROUND(SUM(C30,C33),2)</f>
        <v>5048.74</v>
      </c>
      <c r="D34" s="13">
        <f t="shared" ref="D34:G34" si="8">ROUND(SUM(D30,D33),2)</f>
        <v>4953.18</v>
      </c>
      <c r="E34" s="13">
        <f t="shared" si="8"/>
        <v>5392.75</v>
      </c>
      <c r="F34" s="13">
        <f t="shared" si="8"/>
        <v>8103.99</v>
      </c>
      <c r="G34" s="13">
        <f t="shared" si="8"/>
        <v>11061.26</v>
      </c>
      <c r="H34" s="11"/>
    </row>
    <row r="35" spans="1:8">
      <c r="B35" s="14" t="s">
        <v>36</v>
      </c>
      <c r="F35" s="15"/>
    </row>
    <row r="36" spans="1:8">
      <c r="B36" s="16" t="s">
        <v>37</v>
      </c>
      <c r="C36" s="83">
        <v>4994.3</v>
      </c>
      <c r="D36" s="83">
        <v>4886.03</v>
      </c>
      <c r="E36" s="83">
        <v>5310.18</v>
      </c>
      <c r="F36" s="83">
        <v>8110.64</v>
      </c>
      <c r="G36" s="83">
        <v>11092.31</v>
      </c>
    </row>
    <row r="37" spans="1:8">
      <c r="B37" s="16" t="s">
        <v>38</v>
      </c>
      <c r="C37" s="83">
        <v>54.44</v>
      </c>
      <c r="D37" s="83">
        <v>67.150000000000006</v>
      </c>
      <c r="E37" s="83">
        <v>82.57</v>
      </c>
      <c r="F37" s="83">
        <v>-6.65</v>
      </c>
      <c r="G37" s="83">
        <v>-31.05</v>
      </c>
    </row>
    <row r="38" spans="1:8">
      <c r="B38" s="14"/>
      <c r="C38" s="6"/>
      <c r="D38" s="6"/>
      <c r="E38" s="6"/>
      <c r="F38" s="6"/>
      <c r="G38" s="17"/>
    </row>
    <row r="39" spans="1:8">
      <c r="A39" s="81" t="s">
        <v>8</v>
      </c>
      <c r="B39" s="81" t="s">
        <v>39</v>
      </c>
      <c r="C39" s="82"/>
      <c r="D39" s="82"/>
      <c r="E39" s="82"/>
      <c r="F39" s="82"/>
      <c r="G39" s="82"/>
    </row>
    <row r="41" spans="1:8">
      <c r="B41" s="18" t="s">
        <v>40</v>
      </c>
    </row>
    <row r="42" spans="1:8">
      <c r="B42" s="4" t="s">
        <v>41</v>
      </c>
    </row>
    <row r="43" spans="1:8">
      <c r="B43" s="1" t="s">
        <v>42</v>
      </c>
      <c r="C43" s="83">
        <v>36791.51</v>
      </c>
      <c r="D43" s="83">
        <v>41488.699999999997</v>
      </c>
      <c r="E43" s="83">
        <v>48414</v>
      </c>
      <c r="F43" s="83">
        <v>51803.83</v>
      </c>
      <c r="G43" s="83">
        <v>62394.43</v>
      </c>
      <c r="H43" s="19"/>
    </row>
    <row r="44" spans="1:8">
      <c r="B44" s="1" t="s">
        <v>43</v>
      </c>
      <c r="C44" s="83">
        <v>1775.95</v>
      </c>
      <c r="D44" s="83">
        <v>2772.25</v>
      </c>
      <c r="E44" s="83">
        <v>3541.9</v>
      </c>
      <c r="F44" s="83">
        <v>3809.11</v>
      </c>
      <c r="G44" s="83">
        <v>6177.54</v>
      </c>
      <c r="H44" s="19"/>
    </row>
    <row r="45" spans="1:8">
      <c r="B45" s="1" t="s">
        <v>44</v>
      </c>
      <c r="C45" s="83">
        <v>3697.13</v>
      </c>
      <c r="D45" s="83">
        <v>4022.9</v>
      </c>
      <c r="E45" s="83">
        <v>6814.03</v>
      </c>
      <c r="F45" s="83">
        <v>10936.09</v>
      </c>
      <c r="G45" s="83">
        <v>11592.19</v>
      </c>
      <c r="H45" s="19"/>
    </row>
    <row r="46" spans="1:8">
      <c r="B46" s="1" t="s">
        <v>45</v>
      </c>
      <c r="C46" s="83">
        <v>0</v>
      </c>
      <c r="D46" s="83">
        <v>0</v>
      </c>
      <c r="E46" s="83">
        <v>2473.38</v>
      </c>
      <c r="F46" s="83">
        <v>1345.3</v>
      </c>
      <c r="G46" s="83">
        <v>1459.16</v>
      </c>
      <c r="H46" s="19"/>
    </row>
    <row r="47" spans="1:8">
      <c r="B47" s="1" t="s">
        <v>46</v>
      </c>
      <c r="C47" s="83">
        <v>4036.43</v>
      </c>
      <c r="D47" s="83">
        <v>6711.43</v>
      </c>
      <c r="E47" s="83">
        <v>6963.4</v>
      </c>
      <c r="F47" s="83">
        <v>6906.93</v>
      </c>
      <c r="G47" s="83">
        <v>7093.59</v>
      </c>
    </row>
    <row r="48" spans="1:8">
      <c r="B48" s="1" t="s">
        <v>47</v>
      </c>
      <c r="C48" s="83">
        <v>5533.03</v>
      </c>
      <c r="D48" s="83">
        <v>11580.54</v>
      </c>
      <c r="E48" s="83">
        <v>11445.51</v>
      </c>
      <c r="F48" s="83">
        <v>11282.64</v>
      </c>
      <c r="G48" s="83">
        <v>12491.6</v>
      </c>
    </row>
    <row r="49" spans="2:7">
      <c r="B49" s="1" t="s">
        <v>48</v>
      </c>
      <c r="C49" s="83">
        <v>0</v>
      </c>
      <c r="D49" s="83">
        <v>0</v>
      </c>
      <c r="E49" s="83">
        <v>0</v>
      </c>
      <c r="F49" s="83">
        <v>0</v>
      </c>
      <c r="G49" s="83">
        <v>113.91</v>
      </c>
    </row>
    <row r="50" spans="2:7">
      <c r="B50" s="1" t="s">
        <v>49</v>
      </c>
      <c r="C50" s="83">
        <v>649.53</v>
      </c>
      <c r="D50" s="83">
        <v>1189.8499999999999</v>
      </c>
      <c r="E50" s="83">
        <v>2498.38</v>
      </c>
      <c r="F50" s="83">
        <v>2707.26</v>
      </c>
      <c r="G50" s="83">
        <v>3082.64</v>
      </c>
    </row>
    <row r="51" spans="2:7">
      <c r="B51" s="1" t="s">
        <v>50</v>
      </c>
      <c r="C51" s="83"/>
      <c r="D51" s="83"/>
      <c r="E51" s="83"/>
      <c r="F51" s="83"/>
      <c r="G51" s="83"/>
    </row>
    <row r="52" spans="2:7">
      <c r="B52" s="20" t="s">
        <v>51</v>
      </c>
      <c r="C52" s="83">
        <v>447.86</v>
      </c>
      <c r="D52" s="83">
        <v>1923.1</v>
      </c>
      <c r="E52" s="83">
        <v>1059.47</v>
      </c>
      <c r="F52" s="83">
        <v>919.61</v>
      </c>
      <c r="G52" s="83">
        <v>824.93</v>
      </c>
    </row>
    <row r="53" spans="2:7">
      <c r="B53" s="20" t="s">
        <v>52</v>
      </c>
      <c r="C53" s="83">
        <f>235+751.26+89.42+5010.85</f>
        <v>6086.5300000000007</v>
      </c>
      <c r="D53" s="83">
        <f>87+484.41+3072.08+4607.95</f>
        <v>8251.4399999999987</v>
      </c>
      <c r="E53" s="83">
        <f>1582.15+6.7+1552.97+4567.78</f>
        <v>7709.6</v>
      </c>
      <c r="F53" s="83">
        <f>55+4.52+1523.53+3167.65</f>
        <v>4750.7</v>
      </c>
      <c r="G53" s="83">
        <f>24+704.15+1633.51+3323.67</f>
        <v>5685.33</v>
      </c>
    </row>
    <row r="54" spans="2:7">
      <c r="B54" s="1" t="s">
        <v>53</v>
      </c>
      <c r="C54" s="83">
        <v>881.73</v>
      </c>
      <c r="D54" s="83">
        <v>1357.83</v>
      </c>
      <c r="E54" s="83">
        <v>2199.9</v>
      </c>
      <c r="F54" s="83">
        <v>1918.67</v>
      </c>
      <c r="G54" s="83">
        <v>1889.58</v>
      </c>
    </row>
    <row r="55" spans="2:7">
      <c r="B55" s="1" t="s">
        <v>54</v>
      </c>
      <c r="C55" s="83">
        <v>0</v>
      </c>
      <c r="D55" s="83">
        <v>0</v>
      </c>
      <c r="E55" s="83">
        <v>0</v>
      </c>
      <c r="F55" s="83">
        <v>0</v>
      </c>
      <c r="G55" s="83">
        <v>0</v>
      </c>
    </row>
    <row r="56" spans="2:7">
      <c r="B56" s="1" t="s">
        <v>55</v>
      </c>
      <c r="C56" s="83">
        <v>2593.44</v>
      </c>
      <c r="D56" s="83">
        <v>2299.36</v>
      </c>
      <c r="E56" s="83">
        <v>4338.04</v>
      </c>
      <c r="F56" s="83">
        <v>5065.37</v>
      </c>
      <c r="G56" s="83">
        <v>3583.21</v>
      </c>
    </row>
    <row r="57" spans="2:7">
      <c r="B57" s="9" t="s">
        <v>56</v>
      </c>
      <c r="C57" s="10">
        <f>ROUND(SUM(C43:C56),2)</f>
        <v>62493.14</v>
      </c>
      <c r="D57" s="10">
        <f t="shared" ref="D57:G57" si="9">ROUND(SUM(D43:D56),2)</f>
        <v>81597.399999999994</v>
      </c>
      <c r="E57" s="10">
        <f t="shared" si="9"/>
        <v>97457.61</v>
      </c>
      <c r="F57" s="10">
        <f t="shared" si="9"/>
        <v>101445.51</v>
      </c>
      <c r="G57" s="10">
        <f t="shared" si="9"/>
        <v>116388.11</v>
      </c>
    </row>
    <row r="59" spans="2:7">
      <c r="B59" s="4" t="s">
        <v>57</v>
      </c>
    </row>
    <row r="60" spans="2:7">
      <c r="B60" s="1" t="s">
        <v>58</v>
      </c>
      <c r="C60" s="83">
        <v>991.85</v>
      </c>
      <c r="D60" s="83">
        <v>395.64</v>
      </c>
      <c r="E60" s="83">
        <v>451.97</v>
      </c>
      <c r="F60" s="83">
        <v>437.51</v>
      </c>
      <c r="G60" s="83">
        <v>521.79999999999995</v>
      </c>
    </row>
    <row r="61" spans="2:7">
      <c r="B61" s="1" t="s">
        <v>50</v>
      </c>
      <c r="C61" s="84"/>
      <c r="D61" s="84"/>
      <c r="E61" s="84"/>
      <c r="F61" s="84"/>
      <c r="G61" s="84"/>
    </row>
    <row r="62" spans="2:7">
      <c r="B62" s="20" t="s">
        <v>59</v>
      </c>
      <c r="C62" s="83">
        <v>1138.76</v>
      </c>
      <c r="D62" s="83">
        <v>47.79</v>
      </c>
      <c r="E62" s="83">
        <v>4028.69</v>
      </c>
      <c r="F62" s="83">
        <v>661.79</v>
      </c>
      <c r="G62" s="83">
        <v>751.88</v>
      </c>
    </row>
    <row r="63" spans="2:7">
      <c r="B63" s="20" t="s">
        <v>60</v>
      </c>
      <c r="C63" s="83">
        <v>2385.9</v>
      </c>
      <c r="D63" s="83">
        <v>2221.9</v>
      </c>
      <c r="E63" s="83">
        <v>3241.67</v>
      </c>
      <c r="F63" s="83">
        <v>3666.94</v>
      </c>
      <c r="G63" s="83">
        <v>4432.3599999999997</v>
      </c>
    </row>
    <row r="64" spans="2:7">
      <c r="B64" s="20" t="s">
        <v>61</v>
      </c>
      <c r="C64" s="83">
        <v>4198.04</v>
      </c>
      <c r="D64" s="83">
        <v>8653.02</v>
      </c>
      <c r="E64" s="83">
        <v>931.99</v>
      </c>
      <c r="F64" s="83">
        <v>1575.73</v>
      </c>
      <c r="G64" s="83">
        <v>3406.32</v>
      </c>
    </row>
    <row r="65" spans="2:9">
      <c r="B65" s="20" t="s">
        <v>62</v>
      </c>
      <c r="C65" s="83">
        <v>502.74</v>
      </c>
      <c r="D65" s="83">
        <v>2014.39</v>
      </c>
      <c r="E65" s="83">
        <v>3316.79</v>
      </c>
      <c r="F65" s="83">
        <v>6056.15</v>
      </c>
      <c r="G65" s="83">
        <v>3199.65</v>
      </c>
    </row>
    <row r="66" spans="2:9">
      <c r="B66" s="20" t="s">
        <v>63</v>
      </c>
      <c r="C66" s="83">
        <v>1082.81</v>
      </c>
      <c r="D66" s="83">
        <v>1302.42</v>
      </c>
      <c r="E66" s="83">
        <v>408.09999999999997</v>
      </c>
      <c r="F66" s="83">
        <f>64+205.01</f>
        <v>269.01</v>
      </c>
      <c r="G66" s="83">
        <f>70.6+102.57</f>
        <v>173.17</v>
      </c>
    </row>
    <row r="67" spans="2:9">
      <c r="B67" s="20" t="s">
        <v>64</v>
      </c>
      <c r="C67" s="83">
        <v>0</v>
      </c>
      <c r="D67" s="83">
        <v>0</v>
      </c>
      <c r="E67" s="83">
        <v>0</v>
      </c>
      <c r="F67" s="83">
        <v>0</v>
      </c>
      <c r="G67" s="83">
        <v>0</v>
      </c>
    </row>
    <row r="68" spans="2:9">
      <c r="B68" s="20" t="s">
        <v>65</v>
      </c>
      <c r="C68" s="83">
        <v>1162.48</v>
      </c>
      <c r="D68" s="83">
        <v>824.69</v>
      </c>
      <c r="E68" s="83">
        <v>1962.9699999999998</v>
      </c>
      <c r="F68" s="83">
        <v>3441.08</v>
      </c>
      <c r="G68" s="83">
        <v>4471.8</v>
      </c>
    </row>
    <row r="69" spans="2:9">
      <c r="B69" s="1" t="s">
        <v>66</v>
      </c>
      <c r="C69" s="83">
        <v>1013.2</v>
      </c>
      <c r="D69" s="83">
        <v>730.09</v>
      </c>
      <c r="E69" s="83">
        <v>1164.08</v>
      </c>
      <c r="F69" s="83">
        <v>1177.4000000000001</v>
      </c>
      <c r="G69" s="83">
        <v>1800.39</v>
      </c>
    </row>
    <row r="70" spans="2:9">
      <c r="C70" s="83"/>
      <c r="D70" s="83"/>
      <c r="E70" s="83"/>
      <c r="F70" s="83"/>
      <c r="G70" s="83"/>
    </row>
    <row r="71" spans="2:9">
      <c r="B71" s="9" t="s">
        <v>67</v>
      </c>
      <c r="C71" s="10">
        <f>ROUND(SUM(C60:C70),2)</f>
        <v>12475.78</v>
      </c>
      <c r="D71" s="10">
        <f t="shared" ref="D71:G71" si="10">ROUND(SUM(D60:D70),2)</f>
        <v>16189.94</v>
      </c>
      <c r="E71" s="10">
        <f t="shared" si="10"/>
        <v>15506.26</v>
      </c>
      <c r="F71" s="10">
        <f t="shared" si="10"/>
        <v>17285.61</v>
      </c>
      <c r="G71" s="10">
        <f t="shared" si="10"/>
        <v>18757.37</v>
      </c>
    </row>
    <row r="72" spans="2:9">
      <c r="B72" s="21" t="s">
        <v>68</v>
      </c>
      <c r="C72" s="85">
        <v>354.86</v>
      </c>
      <c r="D72" s="85">
        <v>1898.48</v>
      </c>
      <c r="E72" s="85">
        <v>1941.26</v>
      </c>
      <c r="F72" s="85">
        <v>186.75</v>
      </c>
      <c r="G72" s="85">
        <v>186.75</v>
      </c>
    </row>
    <row r="73" spans="2:9">
      <c r="B73" s="12" t="s">
        <v>69</v>
      </c>
      <c r="C73" s="13">
        <f>ROUND(SUM(C57,C71,C72),2)</f>
        <v>75323.78</v>
      </c>
      <c r="D73" s="13">
        <f t="shared" ref="D73:G73" si="11">ROUND(SUM(D57,D71,D72),2)</f>
        <v>99685.82</v>
      </c>
      <c r="E73" s="13">
        <f t="shared" si="11"/>
        <v>114905.13</v>
      </c>
      <c r="F73" s="13">
        <f t="shared" si="11"/>
        <v>118917.87</v>
      </c>
      <c r="G73" s="13">
        <f t="shared" si="11"/>
        <v>135332.23000000001</v>
      </c>
    </row>
    <row r="74" spans="2:9">
      <c r="B74" s="4"/>
    </row>
    <row r="75" spans="2:9">
      <c r="B75" s="22" t="s">
        <v>70</v>
      </c>
    </row>
    <row r="76" spans="2:9">
      <c r="B76" s="4" t="s">
        <v>71</v>
      </c>
    </row>
    <row r="77" spans="2:9">
      <c r="B77" s="1" t="s">
        <v>72</v>
      </c>
      <c r="C77" s="83">
        <v>406.35</v>
      </c>
      <c r="D77" s="83">
        <v>422.47</v>
      </c>
      <c r="E77" s="83">
        <v>432.03</v>
      </c>
      <c r="F77" s="83">
        <v>432.03</v>
      </c>
      <c r="G77" s="83">
        <v>432.03</v>
      </c>
    </row>
    <row r="78" spans="2:9">
      <c r="B78" s="1" t="s">
        <v>73</v>
      </c>
      <c r="C78" s="83">
        <v>30221.91</v>
      </c>
      <c r="D78" s="83">
        <v>41565.75</v>
      </c>
      <c r="E78" s="83">
        <v>45151.55</v>
      </c>
      <c r="F78" s="83">
        <v>52512.74</v>
      </c>
      <c r="G78" s="83">
        <v>62003.360000000001</v>
      </c>
    </row>
    <row r="79" spans="2:9">
      <c r="B79" s="9" t="s">
        <v>74</v>
      </c>
      <c r="C79" s="10">
        <f>ROUND(SUM(C77:C78),2)</f>
        <v>30628.26</v>
      </c>
      <c r="D79" s="10">
        <f t="shared" ref="D79:E79" si="12">ROUND(SUM(D77:D78),2)</f>
        <v>41988.22</v>
      </c>
      <c r="E79" s="10">
        <f t="shared" si="12"/>
        <v>45583.58</v>
      </c>
      <c r="F79" s="10">
        <f t="shared" ref="F79:G79" si="13">ROUND(SUM(F77:F78),2)</f>
        <v>52944.77</v>
      </c>
      <c r="G79" s="10">
        <f t="shared" si="13"/>
        <v>62435.39</v>
      </c>
      <c r="I79" s="19"/>
    </row>
    <row r="80" spans="2:9">
      <c r="B80" s="1" t="s">
        <v>75</v>
      </c>
      <c r="C80" s="83">
        <v>1468.47</v>
      </c>
      <c r="D80" s="83">
        <v>392.77</v>
      </c>
      <c r="E80" s="83">
        <v>1338.51</v>
      </c>
      <c r="F80" s="83">
        <v>1598.23</v>
      </c>
      <c r="G80" s="83">
        <v>2537.9499999999998</v>
      </c>
    </row>
    <row r="81" spans="2:9">
      <c r="B81" s="9" t="s">
        <v>76</v>
      </c>
      <c r="C81" s="10">
        <f>ROUND(SUM(C79:C80),2)</f>
        <v>32096.73</v>
      </c>
      <c r="D81" s="10">
        <f t="shared" ref="D81:G81" si="14">ROUND(SUM(D79:D80),2)</f>
        <v>42380.99</v>
      </c>
      <c r="E81" s="10">
        <f t="shared" si="14"/>
        <v>46922.09</v>
      </c>
      <c r="F81" s="10">
        <f t="shared" si="14"/>
        <v>54543</v>
      </c>
      <c r="G81" s="10">
        <f t="shared" si="14"/>
        <v>64973.34</v>
      </c>
    </row>
    <row r="83" spans="2:9">
      <c r="B83" s="4" t="s">
        <v>77</v>
      </c>
    </row>
    <row r="84" spans="2:9">
      <c r="B84" s="1" t="s">
        <v>78</v>
      </c>
    </row>
    <row r="85" spans="2:9">
      <c r="B85" s="20" t="s">
        <v>79</v>
      </c>
      <c r="C85" s="83">
        <v>32935.53</v>
      </c>
      <c r="D85" s="83">
        <v>39691.480000000003</v>
      </c>
      <c r="E85" s="83">
        <v>46516.94</v>
      </c>
      <c r="F85" s="83">
        <v>37662.93</v>
      </c>
      <c r="G85" s="83">
        <v>35830.68</v>
      </c>
    </row>
    <row r="86" spans="2:9">
      <c r="B86" s="20" t="s">
        <v>80</v>
      </c>
      <c r="C86" s="83">
        <v>572.33000000000004</v>
      </c>
      <c r="D86" s="83">
        <v>1983.78</v>
      </c>
      <c r="E86" s="83">
        <v>2681.74</v>
      </c>
      <c r="F86" s="83">
        <v>2953.28</v>
      </c>
      <c r="G86" s="83">
        <v>5389.61</v>
      </c>
    </row>
    <row r="87" spans="2:9">
      <c r="B87" s="20" t="s">
        <v>81</v>
      </c>
      <c r="C87" s="83">
        <f>I87-C86</f>
        <v>207.61</v>
      </c>
      <c r="D87" s="83">
        <v>227.56</v>
      </c>
      <c r="E87" s="83">
        <v>322.83999999999997</v>
      </c>
      <c r="F87" s="83">
        <v>360.11</v>
      </c>
      <c r="G87" s="83">
        <v>207.45</v>
      </c>
      <c r="I87" s="32">
        <v>779.94</v>
      </c>
    </row>
    <row r="88" spans="2:9">
      <c r="B88" s="20" t="s">
        <v>82</v>
      </c>
      <c r="C88" s="83">
        <v>0</v>
      </c>
      <c r="D88" s="83">
        <v>0</v>
      </c>
      <c r="E88" s="83">
        <v>0</v>
      </c>
      <c r="F88" s="83">
        <v>0</v>
      </c>
      <c r="G88" s="83">
        <v>0</v>
      </c>
    </row>
    <row r="89" spans="2:9">
      <c r="B89" s="23" t="s">
        <v>83</v>
      </c>
      <c r="C89" s="83">
        <v>1065.79</v>
      </c>
      <c r="D89" s="83">
        <v>988.21</v>
      </c>
      <c r="E89" s="83">
        <v>1148.8399999999999</v>
      </c>
      <c r="F89" s="83">
        <v>1664.99</v>
      </c>
      <c r="G89" s="83">
        <v>2142.54</v>
      </c>
    </row>
    <row r="90" spans="2:9">
      <c r="B90" s="23" t="s">
        <v>84</v>
      </c>
      <c r="C90" s="83">
        <v>26.68</v>
      </c>
      <c r="D90" s="83">
        <v>34.229999999999997</v>
      </c>
      <c r="E90" s="83">
        <v>1201.75</v>
      </c>
      <c r="F90" s="83">
        <v>1100.75</v>
      </c>
      <c r="G90" s="83">
        <v>1149.3599999999999</v>
      </c>
    </row>
    <row r="91" spans="2:9">
      <c r="B91" s="23" t="s">
        <v>85</v>
      </c>
      <c r="C91" s="83">
        <v>0</v>
      </c>
      <c r="D91" s="86">
        <v>0</v>
      </c>
      <c r="E91" s="86">
        <v>0</v>
      </c>
      <c r="F91" s="86">
        <v>0</v>
      </c>
      <c r="G91" s="86">
        <v>0</v>
      </c>
    </row>
    <row r="92" spans="2:9">
      <c r="B92" s="1" t="s">
        <v>86</v>
      </c>
      <c r="C92" s="83">
        <v>1203.1600000000001</v>
      </c>
      <c r="D92" s="83">
        <v>3010.86</v>
      </c>
      <c r="E92" s="83">
        <v>3186.37</v>
      </c>
      <c r="F92" s="83">
        <v>4169.87</v>
      </c>
      <c r="G92" s="83">
        <v>4653.26</v>
      </c>
    </row>
    <row r="93" spans="2:9">
      <c r="B93" s="9" t="s">
        <v>87</v>
      </c>
      <c r="C93" s="10">
        <f>ROUND(SUM(C85:C92),2)</f>
        <v>36011.1</v>
      </c>
      <c r="D93" s="10">
        <f t="shared" ref="D93:G93" si="15">ROUND(SUM(D85:D92),2)</f>
        <v>45936.12</v>
      </c>
      <c r="E93" s="10">
        <f t="shared" si="15"/>
        <v>55058.48</v>
      </c>
      <c r="F93" s="10">
        <f t="shared" si="15"/>
        <v>47911.93</v>
      </c>
      <c r="G93" s="10">
        <f t="shared" si="15"/>
        <v>49372.9</v>
      </c>
    </row>
    <row r="94" spans="2:9">
      <c r="B94" s="4"/>
    </row>
    <row r="95" spans="2:9">
      <c r="B95" s="4" t="s">
        <v>88</v>
      </c>
    </row>
    <row r="96" spans="2:9">
      <c r="B96" s="1" t="s">
        <v>89</v>
      </c>
    </row>
    <row r="97" spans="2:9">
      <c r="B97" s="20" t="s">
        <v>79</v>
      </c>
      <c r="C97" s="83">
        <v>400</v>
      </c>
      <c r="D97" s="83">
        <v>5761.56</v>
      </c>
      <c r="E97" s="83">
        <v>3302.37</v>
      </c>
      <c r="F97" s="83">
        <v>8616.2999999999993</v>
      </c>
      <c r="G97" s="83">
        <v>9979.35</v>
      </c>
    </row>
    <row r="98" spans="2:9">
      <c r="B98" s="20" t="s">
        <v>80</v>
      </c>
      <c r="C98" s="83">
        <v>32.26</v>
      </c>
      <c r="D98" s="83">
        <v>32.159999999999997</v>
      </c>
      <c r="E98" s="83">
        <v>61.97</v>
      </c>
      <c r="F98" s="83">
        <v>71.2</v>
      </c>
      <c r="G98" s="83">
        <v>254.56</v>
      </c>
      <c r="H98" s="19"/>
      <c r="I98" s="32">
        <v>3292.34</v>
      </c>
    </row>
    <row r="99" spans="2:9">
      <c r="B99" s="20" t="s">
        <v>90</v>
      </c>
      <c r="C99" s="83"/>
      <c r="D99" s="83"/>
      <c r="E99" s="83"/>
      <c r="F99" s="83"/>
      <c r="G99" s="83"/>
      <c r="H99" s="19"/>
    </row>
    <row r="100" spans="2:9" ht="15.95">
      <c r="B100" s="24" t="s">
        <v>91</v>
      </c>
      <c r="C100" s="83">
        <v>11.5</v>
      </c>
      <c r="D100" s="83">
        <v>41.86</v>
      </c>
      <c r="E100" s="83">
        <v>98.88</v>
      </c>
      <c r="F100" s="83">
        <v>152.5</v>
      </c>
      <c r="G100" s="83">
        <v>166.73</v>
      </c>
    </row>
    <row r="101" spans="2:9" ht="32.1">
      <c r="B101" s="24" t="s">
        <v>92</v>
      </c>
      <c r="C101" s="83">
        <v>1002.35</v>
      </c>
      <c r="D101" s="83">
        <v>1117.71</v>
      </c>
      <c r="E101" s="83">
        <v>1729.35</v>
      </c>
      <c r="F101" s="83">
        <v>1759.6</v>
      </c>
      <c r="G101" s="83">
        <v>2553.77</v>
      </c>
    </row>
    <row r="102" spans="2:9">
      <c r="B102" s="20" t="s">
        <v>93</v>
      </c>
      <c r="C102" s="83">
        <f>I98-C98</f>
        <v>3260.08</v>
      </c>
      <c r="D102" s="83">
        <f>1954.51+299.24</f>
        <v>2253.75</v>
      </c>
      <c r="E102" s="83">
        <f>2620.76+699.12</f>
        <v>3319.88</v>
      </c>
      <c r="F102" s="83">
        <v>3756.8</v>
      </c>
      <c r="G102" s="83">
        <v>5359.74</v>
      </c>
    </row>
    <row r="103" spans="2:9">
      <c r="B103" s="20" t="s">
        <v>94</v>
      </c>
      <c r="C103" s="83">
        <v>0</v>
      </c>
      <c r="D103" s="83">
        <v>0</v>
      </c>
      <c r="E103" s="83">
        <v>0</v>
      </c>
      <c r="F103" s="83">
        <v>0</v>
      </c>
      <c r="G103" s="83">
        <v>0</v>
      </c>
    </row>
    <row r="104" spans="2:9">
      <c r="B104" s="23" t="s">
        <v>95</v>
      </c>
      <c r="C104" s="83">
        <f>1721.19+539.81</f>
        <v>2261</v>
      </c>
      <c r="D104" s="83">
        <v>1654.87</v>
      </c>
      <c r="E104" s="83">
        <v>1814.19</v>
      </c>
      <c r="F104" s="83">
        <v>1832.45</v>
      </c>
      <c r="G104" s="83">
        <v>2242.6799999999998</v>
      </c>
    </row>
    <row r="105" spans="2:9">
      <c r="B105" s="23" t="s">
        <v>84</v>
      </c>
      <c r="C105" s="83">
        <v>95.73</v>
      </c>
      <c r="D105" s="83">
        <v>107.52</v>
      </c>
      <c r="E105" s="83">
        <v>548.03</v>
      </c>
      <c r="F105" s="83">
        <v>193.44</v>
      </c>
      <c r="G105" s="83">
        <v>236.77</v>
      </c>
    </row>
    <row r="106" spans="2:9">
      <c r="B106" s="23" t="s">
        <v>85</v>
      </c>
      <c r="C106" s="83">
        <v>0</v>
      </c>
      <c r="D106" s="83">
        <v>0</v>
      </c>
      <c r="E106" s="83">
        <v>0</v>
      </c>
      <c r="F106" s="83">
        <v>0</v>
      </c>
      <c r="G106" s="83">
        <v>0</v>
      </c>
    </row>
    <row r="107" spans="2:9">
      <c r="B107" s="1" t="s">
        <v>96</v>
      </c>
      <c r="C107" s="83">
        <v>38.49</v>
      </c>
      <c r="D107" s="83">
        <v>93.92</v>
      </c>
      <c r="E107" s="83">
        <v>528.42999999999995</v>
      </c>
      <c r="F107" s="83">
        <v>33.1</v>
      </c>
      <c r="G107" s="83">
        <v>144.84</v>
      </c>
    </row>
    <row r="108" spans="2:9">
      <c r="B108" s="9" t="s">
        <v>97</v>
      </c>
      <c r="C108" s="10">
        <f>ROUND(SUM(C97:C107),2)</f>
        <v>7101.41</v>
      </c>
      <c r="D108" s="10">
        <f t="shared" ref="D108:G108" si="16">ROUND(SUM(D97:D107),2)</f>
        <v>11063.35</v>
      </c>
      <c r="E108" s="10">
        <f t="shared" si="16"/>
        <v>11403.1</v>
      </c>
      <c r="F108" s="10">
        <f t="shared" si="16"/>
        <v>16415.39</v>
      </c>
      <c r="G108" s="10">
        <f t="shared" si="16"/>
        <v>20938.439999999999</v>
      </c>
    </row>
    <row r="109" spans="2:9">
      <c r="B109" s="21" t="s">
        <v>68</v>
      </c>
      <c r="C109" s="85">
        <v>114.54</v>
      </c>
      <c r="D109" s="85">
        <v>305.36</v>
      </c>
      <c r="E109" s="85">
        <v>1521.46</v>
      </c>
      <c r="F109" s="85">
        <v>47.55</v>
      </c>
      <c r="G109" s="85">
        <v>47.55</v>
      </c>
    </row>
    <row r="110" spans="2:9">
      <c r="B110" s="12" t="s">
        <v>98</v>
      </c>
      <c r="C110" s="13">
        <f>ROUND(SUM(C81,C93,C108,C109),2)</f>
        <v>75323.78</v>
      </c>
      <c r="D110" s="13">
        <f t="shared" ref="D110:G110" si="17">ROUND(SUM(D81,D93,D108,D109),2)</f>
        <v>99685.82</v>
      </c>
      <c r="E110" s="13">
        <f t="shared" si="17"/>
        <v>114905.13</v>
      </c>
      <c r="F110" s="13">
        <f t="shared" si="17"/>
        <v>118917.87</v>
      </c>
      <c r="G110" s="13">
        <f t="shared" si="17"/>
        <v>135332.23000000001</v>
      </c>
    </row>
    <row r="111" spans="2:9">
      <c r="C111" s="19"/>
      <c r="D111" s="19"/>
      <c r="E111" s="19"/>
      <c r="F111" s="19"/>
      <c r="G111" s="19"/>
    </row>
    <row r="112" spans="2:9">
      <c r="B112" s="25" t="s">
        <v>99</v>
      </c>
      <c r="C112" s="26">
        <f>C73-C110</f>
        <v>0</v>
      </c>
      <c r="D112" s="26">
        <f t="shared" ref="D112:F112" si="18">D73-D110</f>
        <v>0</v>
      </c>
      <c r="E112" s="26">
        <f t="shared" si="18"/>
        <v>0</v>
      </c>
      <c r="F112" s="26">
        <f t="shared" si="18"/>
        <v>0</v>
      </c>
      <c r="G112" s="26">
        <f>G73-G110</f>
        <v>0</v>
      </c>
    </row>
    <row r="114" spans="1:7">
      <c r="A114" s="81" t="s">
        <v>8</v>
      </c>
      <c r="B114" s="81" t="s">
        <v>100</v>
      </c>
      <c r="C114" s="82"/>
      <c r="D114" s="82"/>
      <c r="E114" s="82"/>
      <c r="F114" s="82"/>
      <c r="G114" s="82"/>
    </row>
    <row r="115" spans="1:7">
      <c r="G115" s="27"/>
    </row>
    <row r="116" spans="1:7">
      <c r="B116" s="18" t="s">
        <v>101</v>
      </c>
    </row>
    <row r="117" spans="1:7">
      <c r="B117" s="4" t="s">
        <v>102</v>
      </c>
      <c r="C117" s="28"/>
      <c r="D117" s="28"/>
      <c r="E117" s="28"/>
      <c r="F117" s="28"/>
      <c r="G117" s="28"/>
    </row>
    <row r="118" spans="1:7">
      <c r="B118" s="1" t="s">
        <v>103</v>
      </c>
      <c r="C118" s="87">
        <v>6292.01</v>
      </c>
      <c r="D118" s="87">
        <v>5717.14</v>
      </c>
      <c r="E118" s="87">
        <v>5489.13</v>
      </c>
      <c r="F118" s="87">
        <v>10093.73</v>
      </c>
      <c r="G118" s="87">
        <v>13029.62</v>
      </c>
    </row>
    <row r="119" spans="1:7">
      <c r="B119" s="1" t="s">
        <v>104</v>
      </c>
      <c r="C119" s="88">
        <v>0</v>
      </c>
      <c r="D119" s="87">
        <v>0</v>
      </c>
      <c r="E119" s="87">
        <v>0</v>
      </c>
      <c r="F119" s="87">
        <v>0</v>
      </c>
      <c r="G119" s="87">
        <v>0</v>
      </c>
    </row>
    <row r="120" spans="1:7">
      <c r="B120" s="1" t="s">
        <v>105</v>
      </c>
      <c r="C120" s="83"/>
      <c r="D120" s="83"/>
      <c r="E120" s="83"/>
      <c r="F120" s="83"/>
      <c r="G120" s="83"/>
    </row>
    <row r="121" spans="1:7">
      <c r="B121" s="29" t="s">
        <v>19</v>
      </c>
      <c r="C121" s="83">
        <f>1.72+2107.34</f>
        <v>2109.06</v>
      </c>
      <c r="D121" s="83">
        <f>1.72+3099.3</f>
        <v>3101.02</v>
      </c>
      <c r="E121" s="83">
        <f>1.72+3423.24</f>
        <v>3424.9599999999996</v>
      </c>
      <c r="F121" s="83">
        <f>1.72+3888.46</f>
        <v>3890.18</v>
      </c>
      <c r="G121" s="83">
        <f>2.67+4378.93</f>
        <v>4381.6000000000004</v>
      </c>
    </row>
    <row r="122" spans="1:7">
      <c r="B122" s="29" t="s">
        <v>106</v>
      </c>
      <c r="C122" s="83">
        <v>0</v>
      </c>
      <c r="D122" s="83">
        <v>405.19</v>
      </c>
      <c r="E122" s="83">
        <v>1273.3800000000001</v>
      </c>
      <c r="F122" s="83">
        <v>373.7</v>
      </c>
      <c r="G122" s="83">
        <v>249.46</v>
      </c>
    </row>
    <row r="123" spans="1:7">
      <c r="B123" s="29" t="s">
        <v>107</v>
      </c>
      <c r="C123" s="83">
        <v>0</v>
      </c>
      <c r="D123" s="83">
        <v>0</v>
      </c>
      <c r="E123" s="83">
        <v>0</v>
      </c>
      <c r="F123" s="86">
        <v>0</v>
      </c>
      <c r="G123" s="83">
        <v>0</v>
      </c>
    </row>
    <row r="124" spans="1:7">
      <c r="B124" s="29" t="s">
        <v>108</v>
      </c>
      <c r="C124" s="83">
        <v>0</v>
      </c>
      <c r="D124" s="83">
        <v>0</v>
      </c>
      <c r="E124" s="83">
        <v>0</v>
      </c>
      <c r="F124" s="83">
        <v>0</v>
      </c>
      <c r="G124" s="83">
        <v>0</v>
      </c>
    </row>
    <row r="125" spans="1:7">
      <c r="B125" s="29" t="s">
        <v>109</v>
      </c>
      <c r="C125" s="83">
        <f>3.55-92.28</f>
        <v>-88.73</v>
      </c>
      <c r="D125" s="83">
        <v>3.52</v>
      </c>
      <c r="E125" s="83">
        <v>-60.32</v>
      </c>
      <c r="F125" s="83">
        <v>-8.89</v>
      </c>
      <c r="G125" s="83">
        <v>-8.36</v>
      </c>
    </row>
    <row r="126" spans="1:7">
      <c r="B126" s="29" t="s">
        <v>110</v>
      </c>
      <c r="C126" s="83">
        <f>-12.39-61.42</f>
        <v>-73.81</v>
      </c>
      <c r="D126" s="83">
        <f>-57.01-5.41+41.25-59.23</f>
        <v>-80.400000000000006</v>
      </c>
      <c r="E126" s="83">
        <f>-61.19-20.71+1</f>
        <v>-80.900000000000006</v>
      </c>
      <c r="F126" s="83">
        <f>-70.1-19.41</f>
        <v>-89.509999999999991</v>
      </c>
      <c r="G126" s="83">
        <f>-75.49-20.52-603.27</f>
        <v>-699.28</v>
      </c>
    </row>
    <row r="127" spans="1:7">
      <c r="B127" s="29" t="s">
        <v>111</v>
      </c>
      <c r="C127" s="83">
        <v>0</v>
      </c>
      <c r="D127" s="83">
        <v>0</v>
      </c>
      <c r="E127" s="83">
        <v>0</v>
      </c>
      <c r="F127" s="83">
        <v>0</v>
      </c>
      <c r="G127" s="83">
        <v>0</v>
      </c>
    </row>
    <row r="128" spans="1:7">
      <c r="B128" s="29" t="s">
        <v>112</v>
      </c>
      <c r="C128" s="83">
        <v>-729.14</v>
      </c>
      <c r="D128" s="83">
        <v>917.91</v>
      </c>
      <c r="E128" s="83">
        <v>2527.7600000000002</v>
      </c>
      <c r="F128" s="83">
        <v>328.79</v>
      </c>
      <c r="G128" s="83">
        <v>719.33</v>
      </c>
    </row>
    <row r="129" spans="2:7">
      <c r="B129" s="29" t="s">
        <v>113</v>
      </c>
      <c r="C129" s="83">
        <f>-1758.17-2.71</f>
        <v>-1760.88</v>
      </c>
      <c r="D129" s="83">
        <f>-1940.71-4.38</f>
        <v>-1945.0900000000001</v>
      </c>
      <c r="E129" s="83">
        <f>-(1246.28)-6.53</f>
        <v>-1252.81</v>
      </c>
      <c r="F129" s="83">
        <f>-8.54-56.78-860.19</f>
        <v>-925.51</v>
      </c>
      <c r="G129" s="83">
        <f>-248.45-687.98</f>
        <v>-936.43000000000006</v>
      </c>
    </row>
    <row r="130" spans="2:7">
      <c r="B130" s="29" t="s">
        <v>21</v>
      </c>
      <c r="C130" s="83">
        <f>126.13+2129.16</f>
        <v>2255.29</v>
      </c>
      <c r="D130" s="83">
        <f>-15.69+2559.61+12.53</f>
        <v>2556.4500000000003</v>
      </c>
      <c r="E130" s="83">
        <f>-230.98+2593.62-7.49</f>
        <v>2355.15</v>
      </c>
      <c r="F130" s="83">
        <v>2784.41</v>
      </c>
      <c r="G130" s="83">
        <v>2778</v>
      </c>
    </row>
    <row r="131" spans="2:7">
      <c r="B131" s="29" t="s">
        <v>114</v>
      </c>
      <c r="C131" s="83">
        <v>-5.38</v>
      </c>
      <c r="D131" s="83">
        <v>-20.47</v>
      </c>
      <c r="E131" s="83">
        <v>-20.85</v>
      </c>
      <c r="F131" s="83">
        <v>-99.12</v>
      </c>
      <c r="G131" s="83">
        <v>-43.52</v>
      </c>
    </row>
    <row r="132" spans="2:7">
      <c r="B132" s="29" t="s">
        <v>115</v>
      </c>
      <c r="C132" s="83">
        <v>0</v>
      </c>
      <c r="D132" s="83">
        <v>0</v>
      </c>
      <c r="E132" s="83">
        <v>0</v>
      </c>
      <c r="F132" s="83"/>
      <c r="G132" s="83"/>
    </row>
    <row r="133" spans="2:7">
      <c r="B133" s="29" t="s">
        <v>85</v>
      </c>
      <c r="C133" s="83">
        <v>-12.95</v>
      </c>
      <c r="D133" s="83">
        <v>-14.23</v>
      </c>
      <c r="E133" s="83">
        <v>-16.34</v>
      </c>
      <c r="F133" s="83">
        <v>-20.61</v>
      </c>
      <c r="G133" s="83">
        <v>-23.82</v>
      </c>
    </row>
    <row r="134" spans="2:7">
      <c r="B134" s="29" t="s">
        <v>116</v>
      </c>
      <c r="C134" s="83">
        <v>0</v>
      </c>
      <c r="D134" s="83">
        <v>0</v>
      </c>
      <c r="E134" s="83">
        <v>0</v>
      </c>
      <c r="F134" s="83">
        <v>0</v>
      </c>
      <c r="G134" s="83">
        <v>0</v>
      </c>
    </row>
    <row r="135" spans="2:7">
      <c r="B135" s="29" t="s">
        <v>117</v>
      </c>
      <c r="C135" s="83">
        <v>0</v>
      </c>
      <c r="D135" s="83">
        <v>0</v>
      </c>
      <c r="E135" s="83">
        <v>0</v>
      </c>
      <c r="F135" s="83">
        <v>0</v>
      </c>
      <c r="G135" s="83">
        <v>0</v>
      </c>
    </row>
    <row r="136" spans="2:7">
      <c r="B136" s="29" t="s">
        <v>118</v>
      </c>
      <c r="C136" s="83">
        <v>25</v>
      </c>
      <c r="D136" s="83">
        <v>0</v>
      </c>
      <c r="E136" s="83">
        <v>0</v>
      </c>
      <c r="F136" s="83">
        <v>0</v>
      </c>
      <c r="G136" s="83">
        <v>0</v>
      </c>
    </row>
    <row r="137" spans="2:7">
      <c r="B137" s="29" t="s">
        <v>119</v>
      </c>
      <c r="C137" s="83">
        <v>-7.01</v>
      </c>
      <c r="D137" s="83">
        <v>-4.01</v>
      </c>
      <c r="E137" s="83">
        <v>-0.35</v>
      </c>
      <c r="F137" s="83">
        <v>-209.51</v>
      </c>
      <c r="G137" s="83">
        <v>-251.87</v>
      </c>
    </row>
    <row r="138" spans="2:7">
      <c r="B138" s="29" t="s">
        <v>120</v>
      </c>
      <c r="C138" s="83">
        <v>14.27</v>
      </c>
      <c r="D138" s="83">
        <v>-17.39</v>
      </c>
      <c r="E138" s="83">
        <v>-47.78</v>
      </c>
      <c r="F138" s="83">
        <v>161.69</v>
      </c>
      <c r="G138" s="83">
        <v>-141.56</v>
      </c>
    </row>
    <row r="139" spans="2:7">
      <c r="B139" s="29" t="s">
        <v>121</v>
      </c>
      <c r="C139" s="83">
        <v>0</v>
      </c>
      <c r="D139" s="83">
        <v>0</v>
      </c>
      <c r="E139" s="83">
        <v>0</v>
      </c>
      <c r="F139" s="83">
        <v>0</v>
      </c>
      <c r="G139" s="83">
        <v>0</v>
      </c>
    </row>
    <row r="140" spans="2:7">
      <c r="B140" s="7" t="s">
        <v>122</v>
      </c>
      <c r="C140" s="8">
        <f>ROUND(SUM(C118:C139),2)</f>
        <v>8017.73</v>
      </c>
      <c r="D140" s="8">
        <f t="shared" ref="D140:G140" si="19">ROUND(SUM(D118:D139),2)</f>
        <v>10619.64</v>
      </c>
      <c r="E140" s="8">
        <f t="shared" si="19"/>
        <v>13591.03</v>
      </c>
      <c r="F140" s="8">
        <f t="shared" si="19"/>
        <v>16279.35</v>
      </c>
      <c r="G140" s="8">
        <f t="shared" si="19"/>
        <v>19053.169999999998</v>
      </c>
    </row>
    <row r="141" spans="2:7">
      <c r="B141" s="4" t="s">
        <v>123</v>
      </c>
    </row>
    <row r="142" spans="2:7">
      <c r="B142" s="20" t="s">
        <v>124</v>
      </c>
      <c r="C142" s="83">
        <v>10.68</v>
      </c>
      <c r="D142" s="83">
        <v>10.47</v>
      </c>
      <c r="E142" s="83">
        <v>-167.97</v>
      </c>
      <c r="F142" s="83">
        <v>40.9</v>
      </c>
      <c r="G142" s="83">
        <v>247.27</v>
      </c>
    </row>
    <row r="143" spans="2:7">
      <c r="B143" s="20" t="s">
        <v>125</v>
      </c>
      <c r="C143" s="83">
        <v>-68.92</v>
      </c>
      <c r="D143" s="83">
        <v>109.74</v>
      </c>
      <c r="E143" s="83">
        <v>249.96</v>
      </c>
      <c r="F143" s="83">
        <v>-620.32000000000005</v>
      </c>
      <c r="G143" s="83">
        <v>87.89</v>
      </c>
    </row>
    <row r="144" spans="2:7">
      <c r="B144" s="20" t="s">
        <v>126</v>
      </c>
      <c r="C144" s="83">
        <v>-80.919999999999987</v>
      </c>
      <c r="D144" s="83">
        <v>-324.05</v>
      </c>
      <c r="E144" s="83">
        <v>448.15</v>
      </c>
      <c r="F144" s="83">
        <v>594.09</v>
      </c>
      <c r="G144" s="83">
        <v>636.88</v>
      </c>
    </row>
    <row r="145" spans="2:7">
      <c r="B145" s="20" t="s">
        <v>127</v>
      </c>
      <c r="C145" s="83">
        <v>275.93</v>
      </c>
      <c r="D145" s="83">
        <v>126.62</v>
      </c>
      <c r="E145" s="83">
        <v>-531.03</v>
      </c>
      <c r="F145" s="83">
        <v>297.48</v>
      </c>
      <c r="G145" s="83">
        <v>-854.16000000000008</v>
      </c>
    </row>
    <row r="146" spans="2:7">
      <c r="B146" s="20" t="s">
        <v>128</v>
      </c>
      <c r="C146" s="83">
        <v>295.2</v>
      </c>
      <c r="D146" s="83">
        <v>230.18</v>
      </c>
      <c r="E146" s="83">
        <v>-787.07</v>
      </c>
      <c r="F146" s="83">
        <v>-329.79</v>
      </c>
      <c r="G146" s="83">
        <v>-450.99</v>
      </c>
    </row>
    <row r="147" spans="2:7">
      <c r="B147" s="20" t="s">
        <v>129</v>
      </c>
      <c r="C147" s="83">
        <v>-21.089999999999996</v>
      </c>
      <c r="D147" s="83">
        <v>607.26</v>
      </c>
      <c r="E147" s="83">
        <v>-35.89</v>
      </c>
      <c r="F147" s="83">
        <v>27.79</v>
      </c>
      <c r="G147" s="83">
        <v>-28.740000000000002</v>
      </c>
    </row>
    <row r="148" spans="2:7">
      <c r="B148" s="9" t="s">
        <v>130</v>
      </c>
      <c r="C148" s="10">
        <f>ROUND(SUM(C142:C147),2)</f>
        <v>410.88</v>
      </c>
      <c r="D148" s="10">
        <f t="shared" ref="D148:G148" si="20">ROUND(SUM(D142:D147),2)</f>
        <v>760.22</v>
      </c>
      <c r="E148" s="10">
        <f t="shared" si="20"/>
        <v>-823.85</v>
      </c>
      <c r="F148" s="10">
        <f t="shared" si="20"/>
        <v>10.15</v>
      </c>
      <c r="G148" s="10">
        <f t="shared" si="20"/>
        <v>-361.85</v>
      </c>
    </row>
    <row r="149" spans="2:7">
      <c r="B149" s="7" t="s">
        <v>131</v>
      </c>
      <c r="C149" s="8">
        <f>ROUND(SUM(C140,C148),2)</f>
        <v>8428.61</v>
      </c>
      <c r="D149" s="8">
        <f t="shared" ref="D149:G149" si="21">ROUND(SUM(D140,D148),2)</f>
        <v>11379.86</v>
      </c>
      <c r="E149" s="8">
        <f t="shared" si="21"/>
        <v>12767.18</v>
      </c>
      <c r="F149" s="8">
        <f t="shared" si="21"/>
        <v>16289.5</v>
      </c>
      <c r="G149" s="8">
        <f t="shared" si="21"/>
        <v>18691.32</v>
      </c>
    </row>
    <row r="150" spans="2:7">
      <c r="B150" s="1" t="s">
        <v>132</v>
      </c>
      <c r="C150" s="83">
        <v>-872.83</v>
      </c>
      <c r="D150" s="83">
        <v>-959.72</v>
      </c>
      <c r="E150" s="83">
        <v>-833.93</v>
      </c>
      <c r="F150" s="83">
        <v>-1271.92</v>
      </c>
      <c r="G150" s="83">
        <v>-1465.04</v>
      </c>
    </row>
    <row r="151" spans="2:7">
      <c r="B151" s="1" t="s">
        <v>133</v>
      </c>
      <c r="C151" s="83">
        <v>0</v>
      </c>
      <c r="D151" s="83">
        <v>0</v>
      </c>
      <c r="E151" s="86">
        <v>0</v>
      </c>
      <c r="F151" s="83">
        <v>0</v>
      </c>
      <c r="G151" s="83">
        <v>0</v>
      </c>
    </row>
    <row r="152" spans="2:7">
      <c r="B152" s="1" t="s">
        <v>134</v>
      </c>
      <c r="C152" s="83">
        <v>0</v>
      </c>
      <c r="D152" s="83">
        <v>0</v>
      </c>
      <c r="E152" s="83">
        <v>0</v>
      </c>
      <c r="F152" s="83">
        <v>0</v>
      </c>
      <c r="G152" s="83">
        <v>0</v>
      </c>
    </row>
    <row r="153" spans="2:7">
      <c r="B153" s="9" t="s">
        <v>135</v>
      </c>
      <c r="C153" s="10">
        <f>ROUND(SUM(C149:C152),2)</f>
        <v>7555.78</v>
      </c>
      <c r="D153" s="10">
        <f t="shared" ref="D153:G153" si="22">ROUND(SUM(D149:D152),2)</f>
        <v>10420.14</v>
      </c>
      <c r="E153" s="10">
        <f t="shared" si="22"/>
        <v>11933.25</v>
      </c>
      <c r="F153" s="10">
        <f t="shared" si="22"/>
        <v>15017.58</v>
      </c>
      <c r="G153" s="10">
        <f t="shared" si="22"/>
        <v>17226.28</v>
      </c>
    </row>
    <row r="155" spans="2:7">
      <c r="B155" s="18" t="s">
        <v>136</v>
      </c>
    </row>
    <row r="156" spans="2:7" ht="32.1">
      <c r="B156" s="30" t="s">
        <v>137</v>
      </c>
      <c r="C156" s="83">
        <v>-2490.31</v>
      </c>
      <c r="D156" s="83">
        <v>-3196.4799999999996</v>
      </c>
      <c r="E156" s="83">
        <v>-8575.7800000000007</v>
      </c>
      <c r="F156" s="83">
        <v>-5379.67</v>
      </c>
      <c r="G156" s="83">
        <v>-8314.92</v>
      </c>
    </row>
    <row r="157" spans="2:7">
      <c r="B157" s="1" t="s">
        <v>138</v>
      </c>
      <c r="C157" s="83">
        <v>3.8</v>
      </c>
      <c r="D157" s="83">
        <v>167.91</v>
      </c>
      <c r="E157" s="83">
        <v>203.79</v>
      </c>
      <c r="F157" s="83">
        <v>26.71</v>
      </c>
      <c r="G157" s="83">
        <v>50.72</v>
      </c>
    </row>
    <row r="158" spans="2:7">
      <c r="B158" s="1" t="s">
        <v>139</v>
      </c>
      <c r="C158" s="83">
        <v>0</v>
      </c>
      <c r="D158" s="83">
        <v>0</v>
      </c>
      <c r="E158" s="83">
        <v>0</v>
      </c>
      <c r="F158" s="83">
        <v>3305.05</v>
      </c>
      <c r="G158" s="83">
        <v>-71.37</v>
      </c>
    </row>
    <row r="159" spans="2:7">
      <c r="B159" s="1" t="s">
        <v>140</v>
      </c>
      <c r="C159" s="83">
        <v>0</v>
      </c>
      <c r="D159" s="83">
        <v>286.35000000000002</v>
      </c>
      <c r="E159" s="83">
        <v>58.75</v>
      </c>
      <c r="F159" s="83">
        <v>0</v>
      </c>
      <c r="G159" s="83">
        <v>0</v>
      </c>
    </row>
    <row r="160" spans="2:7" ht="32.1">
      <c r="B160" s="30" t="s">
        <v>141</v>
      </c>
      <c r="C160" s="83">
        <v>-13438.69</v>
      </c>
      <c r="D160" s="83">
        <v>-539.30000000000007</v>
      </c>
      <c r="E160" s="83">
        <v>-14429.07</v>
      </c>
      <c r="F160" s="83">
        <v>-3273.03</v>
      </c>
      <c r="G160" s="83">
        <v>-5151.37</v>
      </c>
    </row>
    <row r="161" spans="2:7">
      <c r="B161" s="1" t="s">
        <v>142</v>
      </c>
      <c r="C161" s="83">
        <v>0</v>
      </c>
      <c r="D161" s="83">
        <v>0</v>
      </c>
      <c r="E161" s="83">
        <v>0</v>
      </c>
      <c r="F161" s="83">
        <v>0</v>
      </c>
      <c r="G161" s="83">
        <v>0</v>
      </c>
    </row>
    <row r="162" spans="2:7">
      <c r="B162" s="1" t="s">
        <v>143</v>
      </c>
      <c r="C162" s="83">
        <v>0</v>
      </c>
      <c r="D162" s="83">
        <v>0</v>
      </c>
      <c r="E162" s="83">
        <v>0</v>
      </c>
      <c r="F162" s="83">
        <v>0</v>
      </c>
      <c r="G162" s="83">
        <v>0</v>
      </c>
    </row>
    <row r="163" spans="2:7">
      <c r="B163" s="1" t="s">
        <v>144</v>
      </c>
      <c r="C163" s="83">
        <v>1031.7699999999968</v>
      </c>
      <c r="D163" s="83">
        <v>411.05999999999767</v>
      </c>
      <c r="E163" s="83">
        <v>1390.2999999999993</v>
      </c>
      <c r="F163" s="83">
        <v>188.17000000000002</v>
      </c>
      <c r="G163" s="83">
        <v>72.06</v>
      </c>
    </row>
    <row r="164" spans="2:7">
      <c r="B164" s="1" t="s">
        <v>145</v>
      </c>
      <c r="C164" s="83">
        <f>-1224-188.45</f>
        <v>-1412.45</v>
      </c>
      <c r="D164" s="83">
        <f>-3788.68-446</f>
        <v>-4234.68</v>
      </c>
      <c r="E164" s="83">
        <f>351.7-64.64</f>
        <v>287.06</v>
      </c>
      <c r="F164" s="83">
        <v>-2996.84</v>
      </c>
      <c r="G164" s="83">
        <v>2761.32</v>
      </c>
    </row>
    <row r="165" spans="2:7">
      <c r="B165" s="1" t="s">
        <v>146</v>
      </c>
      <c r="C165" s="83">
        <v>0</v>
      </c>
      <c r="D165" s="83">
        <v>0</v>
      </c>
      <c r="E165" s="83">
        <v>0</v>
      </c>
      <c r="F165" s="83">
        <v>0</v>
      </c>
      <c r="G165" s="83">
        <v>0</v>
      </c>
    </row>
    <row r="166" spans="2:7">
      <c r="B166" s="1" t="s">
        <v>147</v>
      </c>
      <c r="C166" s="83">
        <v>2156.1999999999998</v>
      </c>
      <c r="D166" s="83">
        <v>1819.31</v>
      </c>
      <c r="E166" s="83">
        <v>1461</v>
      </c>
      <c r="F166" s="83">
        <v>969.16</v>
      </c>
      <c r="G166" s="83">
        <v>610.53</v>
      </c>
    </row>
    <row r="167" spans="2:7">
      <c r="B167" s="1" t="s">
        <v>148</v>
      </c>
      <c r="C167" s="83">
        <v>7.01</v>
      </c>
      <c r="D167" s="83">
        <v>4.01</v>
      </c>
      <c r="E167" s="83">
        <v>0.35</v>
      </c>
      <c r="F167" s="83">
        <v>213.9</v>
      </c>
      <c r="G167" s="83">
        <v>255.76</v>
      </c>
    </row>
    <row r="168" spans="2:7">
      <c r="B168" s="1" t="s">
        <v>149</v>
      </c>
      <c r="C168" s="83">
        <v>0</v>
      </c>
      <c r="D168" s="83">
        <v>0</v>
      </c>
      <c r="E168" s="83">
        <v>0</v>
      </c>
      <c r="F168" s="83">
        <v>0</v>
      </c>
      <c r="G168" s="83">
        <v>0</v>
      </c>
    </row>
    <row r="169" spans="2:7">
      <c r="B169" s="9" t="s">
        <v>150</v>
      </c>
      <c r="C169" s="10">
        <f>ROUND(SUM(C156:C168),2)</f>
        <v>-14142.67</v>
      </c>
      <c r="D169" s="10">
        <f t="shared" ref="D169:G169" si="23">ROUND(SUM(D156:D168),2)</f>
        <v>-5281.82</v>
      </c>
      <c r="E169" s="10">
        <f t="shared" si="23"/>
        <v>-19603.599999999999</v>
      </c>
      <c r="F169" s="10">
        <f t="shared" si="23"/>
        <v>-6946.55</v>
      </c>
      <c r="G169" s="10">
        <f t="shared" si="23"/>
        <v>-9787.27</v>
      </c>
    </row>
    <row r="171" spans="2:7">
      <c r="B171" s="18" t="s">
        <v>151</v>
      </c>
    </row>
    <row r="172" spans="2:7" ht="15.95">
      <c r="B172" s="30" t="s">
        <v>152</v>
      </c>
      <c r="C172" s="83">
        <v>0</v>
      </c>
      <c r="D172" s="83">
        <v>0</v>
      </c>
      <c r="E172" s="83">
        <v>0</v>
      </c>
      <c r="F172" s="83">
        <v>0</v>
      </c>
      <c r="G172" s="83">
        <v>0</v>
      </c>
    </row>
    <row r="173" spans="2:7">
      <c r="B173" s="1" t="s">
        <v>153</v>
      </c>
      <c r="C173" s="83">
        <v>0</v>
      </c>
      <c r="D173" s="83">
        <v>800</v>
      </c>
      <c r="E173" s="83">
        <v>0</v>
      </c>
      <c r="F173" s="83">
        <v>235.16</v>
      </c>
      <c r="G173" s="83">
        <v>386.51</v>
      </c>
    </row>
    <row r="174" spans="2:7">
      <c r="B174" s="1" t="s">
        <v>154</v>
      </c>
      <c r="C174" s="83">
        <v>13893.45</v>
      </c>
      <c r="D174" s="83">
        <v>7244.31</v>
      </c>
      <c r="E174" s="83">
        <v>7445.87</v>
      </c>
      <c r="F174" s="83">
        <v>1929.75</v>
      </c>
      <c r="G174" s="83">
        <v>3913.34</v>
      </c>
    </row>
    <row r="175" spans="2:7">
      <c r="B175" s="1" t="s">
        <v>155</v>
      </c>
      <c r="C175" s="83">
        <v>-7252.6</v>
      </c>
      <c r="D175" s="83">
        <v>-2293.1</v>
      </c>
      <c r="E175" s="83">
        <v>-1710.69</v>
      </c>
      <c r="F175" s="83">
        <v>-5583.81</v>
      </c>
      <c r="G175" s="83">
        <v>-6723.48</v>
      </c>
    </row>
    <row r="176" spans="2:7">
      <c r="B176" s="1" t="s">
        <v>156</v>
      </c>
      <c r="C176" s="83">
        <f>100-1250</f>
        <v>-1150</v>
      </c>
      <c r="D176" s="83">
        <v>2576.38</v>
      </c>
      <c r="E176" s="83">
        <v>-5389.83</v>
      </c>
      <c r="F176" s="83">
        <v>-474.97</v>
      </c>
      <c r="G176" s="83">
        <v>-50.46</v>
      </c>
    </row>
    <row r="177" spans="2:7">
      <c r="B177" s="1" t="s">
        <v>157</v>
      </c>
      <c r="C177" s="83">
        <v>0</v>
      </c>
      <c r="D177" s="83">
        <v>0</v>
      </c>
      <c r="E177" s="83">
        <v>0</v>
      </c>
      <c r="F177" s="83">
        <v>0</v>
      </c>
      <c r="G177" s="83">
        <v>0</v>
      </c>
    </row>
    <row r="178" spans="2:7">
      <c r="B178" s="1" t="s">
        <v>158</v>
      </c>
      <c r="C178" s="83">
        <v>-18.100000000000001</v>
      </c>
      <c r="D178" s="83">
        <v>-61.7</v>
      </c>
      <c r="E178" s="83">
        <v>-53.01</v>
      </c>
      <c r="F178" s="83">
        <v>-47.53</v>
      </c>
      <c r="G178" s="83">
        <v>-281.7</v>
      </c>
    </row>
    <row r="179" spans="2:7">
      <c r="B179" s="1" t="s">
        <v>159</v>
      </c>
      <c r="C179" s="83">
        <v>0</v>
      </c>
      <c r="D179" s="83">
        <v>0</v>
      </c>
      <c r="E179" s="83">
        <v>0</v>
      </c>
      <c r="F179" s="83">
        <v>0</v>
      </c>
      <c r="G179" s="83">
        <v>0</v>
      </c>
    </row>
    <row r="180" spans="2:7">
      <c r="B180" s="1" t="s">
        <v>160</v>
      </c>
      <c r="C180" s="83">
        <v>0</v>
      </c>
      <c r="D180" s="83">
        <v>0</v>
      </c>
      <c r="E180" s="83">
        <v>0</v>
      </c>
      <c r="F180" s="83">
        <v>0</v>
      </c>
      <c r="G180" s="83">
        <v>0</v>
      </c>
    </row>
    <row r="181" spans="2:7">
      <c r="B181" s="1" t="s">
        <v>161</v>
      </c>
      <c r="C181" s="83">
        <f>-1937.73-20.94</f>
        <v>-1958.67</v>
      </c>
      <c r="D181" s="83">
        <f>-2550.51+43.13</f>
        <v>-2507.38</v>
      </c>
      <c r="E181" s="83">
        <f>-2371-482.71</f>
        <v>-2853.71</v>
      </c>
      <c r="F181" s="83">
        <v>-2779.03</v>
      </c>
      <c r="G181" s="83">
        <v>-2823.45</v>
      </c>
    </row>
    <row r="182" spans="2:7">
      <c r="B182" s="1" t="s">
        <v>162</v>
      </c>
      <c r="C182" s="83">
        <v>-0.23</v>
      </c>
      <c r="D182" s="83">
        <v>-1026.6500000000001</v>
      </c>
      <c r="E182" s="83">
        <v>-1092.9100000000001</v>
      </c>
      <c r="F182" s="83">
        <v>-1079.68</v>
      </c>
      <c r="G182" s="83">
        <v>-1336.28</v>
      </c>
    </row>
    <row r="183" spans="2:7">
      <c r="B183" s="1" t="s">
        <v>163</v>
      </c>
      <c r="C183" s="83">
        <v>0</v>
      </c>
      <c r="D183" s="83">
        <v>0</v>
      </c>
      <c r="E183" s="83">
        <v>0</v>
      </c>
      <c r="F183" s="83">
        <v>0</v>
      </c>
      <c r="G183" s="83">
        <v>0</v>
      </c>
    </row>
    <row r="184" spans="2:7">
      <c r="B184" s="1" t="s">
        <v>164</v>
      </c>
      <c r="C184" s="83">
        <v>0</v>
      </c>
      <c r="D184" s="83">
        <v>0</v>
      </c>
      <c r="E184" s="83">
        <v>0</v>
      </c>
      <c r="F184" s="83">
        <v>0</v>
      </c>
      <c r="G184" s="83">
        <v>0</v>
      </c>
    </row>
    <row r="185" spans="2:7">
      <c r="B185" s="1" t="s">
        <v>165</v>
      </c>
      <c r="C185" s="83">
        <v>0</v>
      </c>
      <c r="D185" s="83">
        <f>-5426.88+109.25</f>
        <v>-5317.63</v>
      </c>
      <c r="E185" s="83">
        <f>-25.02+945.5</f>
        <v>920.48</v>
      </c>
      <c r="F185" s="83">
        <v>0</v>
      </c>
      <c r="G185" s="83">
        <v>0</v>
      </c>
    </row>
    <row r="186" spans="2:7">
      <c r="B186" s="1" t="s">
        <v>166</v>
      </c>
      <c r="C186" s="83">
        <v>0</v>
      </c>
      <c r="D186" s="83">
        <v>0</v>
      </c>
      <c r="E186" s="83">
        <v>0</v>
      </c>
      <c r="F186" s="83">
        <v>0</v>
      </c>
      <c r="G186" s="83">
        <v>0</v>
      </c>
    </row>
    <row r="187" spans="2:7">
      <c r="B187" s="9" t="s">
        <v>167</v>
      </c>
      <c r="C187" s="10">
        <f>ROUND(SUM(C172:C186),2)</f>
        <v>3513.85</v>
      </c>
      <c r="D187" s="10">
        <f t="shared" ref="D187:G187" si="24">ROUND(SUM(D172:D186),2)</f>
        <v>-585.77</v>
      </c>
      <c r="E187" s="10">
        <f t="shared" si="24"/>
        <v>-2733.8</v>
      </c>
      <c r="F187" s="10">
        <f t="shared" si="24"/>
        <v>-7800.11</v>
      </c>
      <c r="G187" s="10">
        <f t="shared" si="24"/>
        <v>-6915.52</v>
      </c>
    </row>
    <row r="189" spans="2:7">
      <c r="B189" s="12" t="s">
        <v>168</v>
      </c>
      <c r="C189" s="13">
        <f>ROUND(SUM(C153,C169,C187),2)</f>
        <v>-3073.04</v>
      </c>
      <c r="D189" s="13">
        <f t="shared" ref="D189:G189" si="25">ROUND(SUM(D153,D169,D187),2)</f>
        <v>4552.55</v>
      </c>
      <c r="E189" s="13">
        <f t="shared" si="25"/>
        <v>-10404.15</v>
      </c>
      <c r="F189" s="13">
        <f t="shared" si="25"/>
        <v>270.92</v>
      </c>
      <c r="G189" s="13">
        <f t="shared" si="25"/>
        <v>523.49</v>
      </c>
    </row>
    <row r="191" spans="2:7">
      <c r="B191" s="4" t="s">
        <v>169</v>
      </c>
      <c r="C191" s="87">
        <v>7195.46</v>
      </c>
      <c r="D191" s="87">
        <v>4334.8100000000004</v>
      </c>
      <c r="E191" s="87">
        <v>8676.0499999999993</v>
      </c>
      <c r="F191" s="87">
        <v>1125.82</v>
      </c>
      <c r="G191" s="87">
        <v>1575.73</v>
      </c>
    </row>
    <row r="192" spans="2:7">
      <c r="B192" s="1" t="s">
        <v>170</v>
      </c>
      <c r="C192" s="83">
        <v>78.55</v>
      </c>
      <c r="D192" s="83">
        <v>-211.31</v>
      </c>
      <c r="E192" s="83">
        <v>2664.8</v>
      </c>
      <c r="F192" s="83">
        <v>178.99</v>
      </c>
      <c r="G192" s="83">
        <f>-0.26+1307.36</f>
        <v>1307.0999999999999</v>
      </c>
    </row>
    <row r="193" spans="2:13">
      <c r="B193" s="4" t="s">
        <v>171</v>
      </c>
      <c r="C193" s="87">
        <v>4200.97</v>
      </c>
      <c r="D193" s="87">
        <v>8676.0499999999993</v>
      </c>
      <c r="E193" s="87">
        <v>936.7</v>
      </c>
      <c r="F193" s="87">
        <v>1575.73</v>
      </c>
      <c r="G193" s="87">
        <v>3406.32</v>
      </c>
      <c r="I193" s="19"/>
      <c r="J193" s="19"/>
      <c r="K193" s="19"/>
      <c r="L193" s="19"/>
      <c r="M193" s="19"/>
    </row>
    <row r="194" spans="2:13">
      <c r="C194" s="87"/>
      <c r="D194" s="87"/>
      <c r="E194" s="87"/>
      <c r="F194" s="87"/>
      <c r="G194" s="87"/>
    </row>
    <row r="195" spans="2:13">
      <c r="B195" s="1" t="s">
        <v>172</v>
      </c>
      <c r="C195" s="83">
        <f>C64</f>
        <v>4198.04</v>
      </c>
      <c r="D195" s="83">
        <f t="shared" ref="D195:G195" si="26">D64</f>
        <v>8653.02</v>
      </c>
      <c r="E195" s="83">
        <f t="shared" si="26"/>
        <v>931.99</v>
      </c>
      <c r="F195" s="83">
        <f t="shared" si="26"/>
        <v>1575.73</v>
      </c>
      <c r="G195" s="83">
        <f t="shared" si="26"/>
        <v>3406.32</v>
      </c>
    </row>
    <row r="196" spans="2:13">
      <c r="B196" s="1" t="s">
        <v>173</v>
      </c>
      <c r="C196" s="83">
        <f>C198-C195</f>
        <v>2.930000000000291</v>
      </c>
      <c r="D196" s="83">
        <f t="shared" ref="D196:G196" si="27">D198-D195</f>
        <v>23.029999999998836</v>
      </c>
      <c r="E196" s="83">
        <f t="shared" si="27"/>
        <v>4.7100000000000364</v>
      </c>
      <c r="F196" s="83">
        <f t="shared" si="27"/>
        <v>0</v>
      </c>
      <c r="G196" s="83">
        <f t="shared" si="27"/>
        <v>0</v>
      </c>
    </row>
    <row r="197" spans="2:13">
      <c r="B197" s="1" t="s">
        <v>174</v>
      </c>
      <c r="C197" s="83">
        <v>0</v>
      </c>
      <c r="D197" s="83">
        <v>0</v>
      </c>
      <c r="E197" s="83">
        <v>0</v>
      </c>
      <c r="F197" s="83">
        <v>0</v>
      </c>
      <c r="G197" s="86">
        <v>0</v>
      </c>
    </row>
    <row r="198" spans="2:13">
      <c r="B198" s="4" t="s">
        <v>175</v>
      </c>
      <c r="C198" s="31">
        <f>C193</f>
        <v>4200.97</v>
      </c>
      <c r="D198" s="31">
        <f t="shared" ref="D198:G198" si="28">D193</f>
        <v>8676.0499999999993</v>
      </c>
      <c r="E198" s="31">
        <f t="shared" si="28"/>
        <v>936.7</v>
      </c>
      <c r="F198" s="31">
        <f t="shared" si="28"/>
        <v>1575.73</v>
      </c>
      <c r="G198" s="31">
        <f t="shared" si="28"/>
        <v>3406.32</v>
      </c>
    </row>
    <row r="199" spans="2:13">
      <c r="B199" s="4"/>
      <c r="C199" s="19"/>
      <c r="D199" s="19"/>
      <c r="E199" s="19"/>
      <c r="F199" s="19"/>
      <c r="G199" s="19"/>
    </row>
    <row r="200" spans="2:13">
      <c r="C200" s="19"/>
      <c r="D200" s="19"/>
      <c r="E200" s="19"/>
      <c r="F200" s="19"/>
      <c r="G200" s="19"/>
    </row>
    <row r="201" spans="2:13">
      <c r="C201" s="19"/>
      <c r="D201" s="19"/>
      <c r="E201" s="19"/>
      <c r="F201" s="19"/>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E67CF-9C6E-488A-81B6-EC3E91256623}">
  <dimension ref="A2:G187"/>
  <sheetViews>
    <sheetView showGridLines="0" workbookViewId="0">
      <pane ySplit="3" topLeftCell="A15" activePane="bottomLeft" state="frozen"/>
      <selection pane="bottomLeft" activeCell="C11" sqref="C11"/>
      <selection activeCell="B103" sqref="B103"/>
    </sheetView>
  </sheetViews>
  <sheetFormatPr defaultColWidth="8.85546875" defaultRowHeight="15"/>
  <cols>
    <col min="1" max="1" width="1.85546875" customWidth="1"/>
    <col min="2" max="2" width="84.85546875" bestFit="1" customWidth="1"/>
    <col min="3" max="7" width="8.85546875" customWidth="1"/>
  </cols>
  <sheetData>
    <row r="2" spans="1:7" ht="18.95">
      <c r="B2" s="90" t="s">
        <v>176</v>
      </c>
      <c r="C2" s="90"/>
      <c r="D2" s="90"/>
      <c r="E2" s="90"/>
      <c r="F2" s="90"/>
      <c r="G2" s="90"/>
    </row>
    <row r="3" spans="1:7">
      <c r="B3" s="91"/>
      <c r="C3" s="92" t="str">
        <f>'Consol. Historical FS'!C3</f>
        <v>FY21A</v>
      </c>
      <c r="D3" s="92" t="str">
        <f>'Consol. Historical FS'!D3</f>
        <v>FY22A</v>
      </c>
      <c r="E3" s="92" t="str">
        <f>'Consol. Historical FS'!E3</f>
        <v>FY23A</v>
      </c>
      <c r="F3" s="92" t="str">
        <f>'Consol. Historical FS'!F3</f>
        <v>FY24A</v>
      </c>
      <c r="G3" s="92" t="str">
        <f>'Consol. Historical FS'!G3</f>
        <v>FY25A</v>
      </c>
    </row>
    <row r="4" spans="1:7">
      <c r="B4" s="33"/>
      <c r="C4" s="34"/>
      <c r="D4" s="34"/>
      <c r="E4" s="34"/>
      <c r="F4" s="34"/>
    </row>
    <row r="5" spans="1:7">
      <c r="A5" s="93" t="s">
        <v>8</v>
      </c>
      <c r="B5" s="93" t="s">
        <v>177</v>
      </c>
      <c r="C5" s="94"/>
      <c r="D5" s="94"/>
      <c r="E5" s="94"/>
      <c r="F5" s="94"/>
      <c r="G5" s="94"/>
    </row>
    <row r="6" spans="1:7">
      <c r="A6" s="35"/>
      <c r="B6" s="35"/>
      <c r="C6" s="36"/>
      <c r="D6" s="36"/>
      <c r="E6" s="36"/>
      <c r="F6" s="36"/>
    </row>
    <row r="7" spans="1:7">
      <c r="A7" s="35"/>
      <c r="B7" t="s">
        <v>10</v>
      </c>
      <c r="C7" s="37">
        <f>ROUND('Consol. Historical FS'!C7/'Consol. Historical FS'!C$9,3)</f>
        <v>1</v>
      </c>
      <c r="D7" s="37">
        <f>ROUND('Consol. Historical FS'!D7/'Consol. Historical FS'!D$9,3)</f>
        <v>1</v>
      </c>
      <c r="E7" s="37">
        <f>ROUND('Consol. Historical FS'!E7/'Consol. Historical FS'!E$9,3)</f>
        <v>1</v>
      </c>
      <c r="F7" s="37">
        <f>ROUND('Consol. Historical FS'!F7/'Consol. Historical FS'!F$9,3)</f>
        <v>1</v>
      </c>
      <c r="G7" s="37">
        <f>ROUND('Consol. Historical FS'!G7/'Consol. Historical FS'!G$9,3)</f>
        <v>1</v>
      </c>
    </row>
    <row r="8" spans="1:7">
      <c r="A8" s="35"/>
      <c r="B8" t="s">
        <v>11</v>
      </c>
      <c r="C8" s="37">
        <f>ROUND('Consol. Historical FS'!C8/'Consol. Historical FS'!C$9,3)</f>
        <v>0</v>
      </c>
      <c r="D8" s="37">
        <f>ROUND('Consol. Historical FS'!D8/'Consol. Historical FS'!D$9,3)</f>
        <v>0</v>
      </c>
      <c r="E8" s="37">
        <f>ROUND('Consol. Historical FS'!E8/'Consol. Historical FS'!E$9,3)</f>
        <v>0</v>
      </c>
      <c r="F8" s="37">
        <f>ROUND('Consol. Historical FS'!F8/'Consol. Historical FS'!F$9,3)</f>
        <v>0</v>
      </c>
      <c r="G8" s="37">
        <f>ROUND('Consol. Historical FS'!G8/'Consol. Historical FS'!G$9,3)</f>
        <v>0</v>
      </c>
    </row>
    <row r="9" spans="1:7">
      <c r="A9" s="35"/>
      <c r="B9" s="38" t="s">
        <v>12</v>
      </c>
      <c r="C9" s="39">
        <f>ROUND('Consol. Historical FS'!C9/'Consol. Historical FS'!C$9,3)</f>
        <v>1</v>
      </c>
      <c r="D9" s="39">
        <f>ROUND('Consol. Historical FS'!D9/'Consol. Historical FS'!D$9,3)</f>
        <v>1</v>
      </c>
      <c r="E9" s="39">
        <f>ROUND('Consol. Historical FS'!E9/'Consol. Historical FS'!E$9,3)</f>
        <v>1</v>
      </c>
      <c r="F9" s="39">
        <f>ROUND('Consol. Historical FS'!F9/'Consol. Historical FS'!F$9,3)</f>
        <v>1</v>
      </c>
      <c r="G9" s="39">
        <f>ROUND('Consol. Historical FS'!G9/'Consol. Historical FS'!G$9,3)</f>
        <v>1</v>
      </c>
    </row>
    <row r="10" spans="1:7">
      <c r="A10" s="35"/>
      <c r="B10" s="1" t="s">
        <v>13</v>
      </c>
      <c r="C10" s="37">
        <f>'Consol. Historical FS'!C10/'Consol. Historical FS'!C$7</f>
        <v>0.25972859692739209</v>
      </c>
      <c r="D10" s="37">
        <f>ROUND('Consol. Historical FS'!D10/'Consol. Historical FS'!D$9,3)</f>
        <v>0.28399999999999997</v>
      </c>
      <c r="E10" s="37">
        <f>ROUND('Consol. Historical FS'!E10/'Consol. Historical FS'!E$9,3)</f>
        <v>0.27100000000000002</v>
      </c>
      <c r="F10" s="37">
        <f>ROUND('Consol. Historical FS'!F10/'Consol. Historical FS'!F$9,3)</f>
        <v>0.26600000000000001</v>
      </c>
      <c r="G10" s="37">
        <f>ROUND('Consol. Historical FS'!G10/'Consol. Historical FS'!G$9,3)</f>
        <v>0.26500000000000001</v>
      </c>
    </row>
    <row r="11" spans="1:7">
      <c r="A11" s="35"/>
      <c r="B11" s="38" t="s">
        <v>14</v>
      </c>
      <c r="C11" s="39">
        <f>ROUND('Consol. Historical FS'!C13/'Consol. Historical FS'!C$9,3)</f>
        <v>0.74</v>
      </c>
      <c r="D11" s="39">
        <f>ROUND('Consol. Historical FS'!D13/'Consol. Historical FS'!D$9,3)</f>
        <v>0.71599999999999997</v>
      </c>
      <c r="E11" s="39">
        <f>ROUND('Consol. Historical FS'!E13/'Consol. Historical FS'!E$9,3)</f>
        <v>0.72899999999999998</v>
      </c>
      <c r="F11" s="39">
        <f>ROUND('Consol. Historical FS'!F13/'Consol. Historical FS'!F$9,3)</f>
        <v>0.73399999999999999</v>
      </c>
      <c r="G11" s="39">
        <f>ROUND('Consol. Historical FS'!G13/'Consol. Historical FS'!G$9,3)</f>
        <v>0.73499999999999999</v>
      </c>
    </row>
    <row r="12" spans="1:7">
      <c r="A12" s="35"/>
      <c r="B12" t="s">
        <v>15</v>
      </c>
      <c r="C12" s="37">
        <f>ROUND('Consol. Historical FS'!C14/'Consol. Historical FS'!C$9,3)</f>
        <v>4.9000000000000002E-2</v>
      </c>
      <c r="D12" s="37">
        <f>ROUND('Consol. Historical FS'!D14/'Consol. Historical FS'!D$9,3)</f>
        <v>4.5999999999999999E-2</v>
      </c>
      <c r="E12" s="37">
        <f>ROUND('Consol. Historical FS'!E14/'Consol. Historical FS'!E$9,3)</f>
        <v>5.7000000000000002E-2</v>
      </c>
      <c r="F12" s="37">
        <f>ROUND('Consol. Historical FS'!F14/'Consol. Historical FS'!F$9,3)</f>
        <v>7.0999999999999994E-2</v>
      </c>
      <c r="G12" s="37">
        <f>ROUND('Consol. Historical FS'!G14/'Consol. Historical FS'!G$9,3)</f>
        <v>6.6000000000000003E-2</v>
      </c>
    </row>
    <row r="13" spans="1:7">
      <c r="A13" s="35"/>
      <c r="B13" t="s">
        <v>16</v>
      </c>
      <c r="C13" s="37">
        <f>ROUND('Consol. Historical FS'!C15/'Consol. Historical FS'!C$9,3)</f>
        <v>0</v>
      </c>
      <c r="D13" s="37">
        <f>ROUND('Consol. Historical FS'!D15/'Consol. Historical FS'!D$9,3)</f>
        <v>0</v>
      </c>
      <c r="E13" s="37">
        <f>ROUND('Consol. Historical FS'!E15/'Consol. Historical FS'!E$9,3)</f>
        <v>0</v>
      </c>
      <c r="F13" s="37">
        <f>ROUND('Consol. Historical FS'!F15/'Consol. Historical FS'!F$9,3)</f>
        <v>0</v>
      </c>
      <c r="G13" s="37">
        <f>ROUND('Consol. Historical FS'!G15/'Consol. Historical FS'!G$9,3)</f>
        <v>0</v>
      </c>
    </row>
    <row r="14" spans="1:7">
      <c r="A14" s="35"/>
      <c r="B14" t="s">
        <v>17</v>
      </c>
      <c r="C14" s="37">
        <f>ROUND('Consol. Historical FS'!C16/'Consol. Historical FS'!C$9,3)</f>
        <v>-2E-3</v>
      </c>
      <c r="D14" s="37">
        <f>ROUND('Consol. Historical FS'!D16/'Consol. Historical FS'!D$9,3)</f>
        <v>0.114</v>
      </c>
      <c r="E14" s="37">
        <f>ROUND('Consol. Historical FS'!E16/'Consol. Historical FS'!E$9,3)</f>
        <v>0.14699999999999999</v>
      </c>
      <c r="F14" s="37">
        <f>ROUND('Consol. Historical FS'!F16/'Consol. Historical FS'!F$9,3)</f>
        <v>7.2999999999999995E-2</v>
      </c>
      <c r="G14" s="37">
        <f>ROUND('Consol. Historical FS'!G16/'Consol. Historical FS'!G$9,3)</f>
        <v>7.3999999999999996E-2</v>
      </c>
    </row>
    <row r="15" spans="1:7">
      <c r="A15" s="35"/>
      <c r="B15" s="38" t="s">
        <v>18</v>
      </c>
      <c r="C15" s="39">
        <f>ROUND('Consol. Historical FS'!C17/'Consol. Historical FS'!C$9,3)</f>
        <v>0.69299999999999995</v>
      </c>
      <c r="D15" s="39">
        <f>ROUND('Consol. Historical FS'!D17/'Consol. Historical FS'!D$9,3)</f>
        <v>0.55600000000000005</v>
      </c>
      <c r="E15" s="39">
        <f>ROUND('Consol. Historical FS'!E17/'Consol. Historical FS'!E$9,3)</f>
        <v>0.52500000000000002</v>
      </c>
      <c r="F15" s="39">
        <f>ROUND('Consol. Historical FS'!F17/'Consol. Historical FS'!F$9,3)</f>
        <v>0.59</v>
      </c>
      <c r="G15" s="39">
        <f>ROUND('Consol. Historical FS'!G17/'Consol. Historical FS'!G$9,3)</f>
        <v>0.59499999999999997</v>
      </c>
    </row>
    <row r="16" spans="1:7">
      <c r="A16" s="35"/>
      <c r="B16" t="s">
        <v>19</v>
      </c>
      <c r="C16" s="37">
        <f>ROUND('Consol. Historical FS'!C18/'Consol. Historical FS'!C$9,3)</f>
        <v>0.16800000000000001</v>
      </c>
      <c r="D16" s="37">
        <f>ROUND('Consol. Historical FS'!D18/'Consol. Historical FS'!D$9,3)</f>
        <v>0.18099999999999999</v>
      </c>
      <c r="E16" s="37">
        <f>ROUND('Consol. Historical FS'!E18/'Consol. Historical FS'!E$9,3)</f>
        <v>0.16400000000000001</v>
      </c>
      <c r="F16" s="37">
        <f>ROUND('Consol. Historical FS'!F18/'Consol. Historical FS'!F$9,3)</f>
        <v>0.14599999999999999</v>
      </c>
      <c r="G16" s="37">
        <f>ROUND('Consol. Historical FS'!G18/'Consol. Historical FS'!G$9,3)</f>
        <v>0.14399999999999999</v>
      </c>
    </row>
    <row r="17" spans="1:7">
      <c r="A17" s="35"/>
      <c r="B17" s="38" t="s">
        <v>20</v>
      </c>
      <c r="C17" s="39">
        <f>ROUND('Consol. Historical FS'!C19/'Consol. Historical FS'!C$9,3)</f>
        <v>0.52500000000000002</v>
      </c>
      <c r="D17" s="39">
        <f>ROUND('Consol. Historical FS'!D19/'Consol. Historical FS'!D$9,3)</f>
        <v>0.375</v>
      </c>
      <c r="E17" s="39">
        <f>ROUND('Consol. Historical FS'!E19/'Consol. Historical FS'!E$9,3)</f>
        <v>0.36099999999999999</v>
      </c>
      <c r="F17" s="39">
        <f>ROUND('Consol. Historical FS'!F19/'Consol. Historical FS'!F$9,3)</f>
        <v>0.44400000000000001</v>
      </c>
      <c r="G17" s="39">
        <f>ROUND('Consol. Historical FS'!G19/'Consol. Historical FS'!G$9,3)</f>
        <v>0.45200000000000001</v>
      </c>
    </row>
    <row r="18" spans="1:7">
      <c r="A18" s="35"/>
      <c r="B18" t="s">
        <v>21</v>
      </c>
      <c r="C18" s="37">
        <f>ROUND('Consol. Historical FS'!C20/'Consol. Historical FS'!C$9,3)</f>
        <v>0.18</v>
      </c>
      <c r="D18" s="37">
        <f>ROUND('Consol. Historical FS'!D20/'Consol. Historical FS'!D$9,3)</f>
        <v>0.14899999999999999</v>
      </c>
      <c r="E18" s="37">
        <f>ROUND('Consol. Historical FS'!E20/'Consol. Historical FS'!E$9,3)</f>
        <v>0.113</v>
      </c>
      <c r="F18" s="37">
        <f>ROUND('Consol. Historical FS'!F20/'Consol. Historical FS'!F$9,3)</f>
        <v>0.10199999999999999</v>
      </c>
      <c r="G18" s="37">
        <f>ROUND('Consol. Historical FS'!G20/'Consol. Historical FS'!G$9,3)</f>
        <v>8.3000000000000004E-2</v>
      </c>
    </row>
    <row r="19" spans="1:7">
      <c r="A19" s="35"/>
      <c r="B19" t="s">
        <v>22</v>
      </c>
      <c r="C19" s="37">
        <f>ROUND('Consol. Historical FS'!C21/'Consol. Historical FS'!C$9,3)</f>
        <v>0.157</v>
      </c>
      <c r="D19" s="37">
        <f>ROUND('Consol. Historical FS'!D21/'Consol. Historical FS'!D$9,3)</f>
        <v>0.13</v>
      </c>
      <c r="E19" s="37">
        <f>ROUND('Consol. Historical FS'!E21/'Consol. Historical FS'!E$9,3)</f>
        <v>7.4999999999999997E-2</v>
      </c>
      <c r="F19" s="37">
        <f>ROUND('Consol. Historical FS'!F21/'Consol. Historical FS'!F$9,3)</f>
        <v>5.6000000000000001E-2</v>
      </c>
      <c r="G19" s="37">
        <f>ROUND('Consol. Historical FS'!G21/'Consol. Historical FS'!G$9,3)</f>
        <v>6.3E-2</v>
      </c>
    </row>
    <row r="20" spans="1:7">
      <c r="A20" s="35"/>
      <c r="B20" s="38" t="s">
        <v>23</v>
      </c>
      <c r="C20" s="39">
        <f>ROUND('Consol. Historical FS'!C22/'Consol. Historical FS'!C$9,3)</f>
        <v>0.503</v>
      </c>
      <c r="D20" s="39">
        <f>ROUND('Consol. Historical FS'!D22/'Consol. Historical FS'!D$9,3)</f>
        <v>0.35699999999999998</v>
      </c>
      <c r="E20" s="39">
        <f>ROUND('Consol. Historical FS'!E22/'Consol. Historical FS'!E$9,3)</f>
        <v>0.32200000000000001</v>
      </c>
      <c r="F20" s="39">
        <f>ROUND('Consol. Historical FS'!F22/'Consol. Historical FS'!F$9,3)</f>
        <v>0.39800000000000002</v>
      </c>
      <c r="G20" s="39">
        <f>ROUND('Consol. Historical FS'!G22/'Consol. Historical FS'!G$9,3)</f>
        <v>0.43099999999999999</v>
      </c>
    </row>
    <row r="21" spans="1:7">
      <c r="A21" s="35"/>
      <c r="B21" t="s">
        <v>24</v>
      </c>
      <c r="C21" s="37">
        <f>ROUND('Consol. Historical FS'!C23/'Consol. Historical FS'!C$9,3)</f>
        <v>-1E-3</v>
      </c>
      <c r="D21" s="37">
        <f>ROUND('Consol. Historical FS'!D23/'Consol. Historical FS'!D$9,3)</f>
        <v>1E-3</v>
      </c>
      <c r="E21" s="37">
        <f>ROUND('Consol. Historical FS'!E23/'Consol. Historical FS'!E$9,3)</f>
        <v>2E-3</v>
      </c>
      <c r="F21" s="37">
        <f>ROUND('Consol. Historical FS'!F23/'Consol. Historical FS'!F$9,3)</f>
        <v>-6.0000000000000001E-3</v>
      </c>
      <c r="G21" s="37">
        <f>ROUND('Consol. Historical FS'!G23/'Consol. Historical FS'!G$9,3)</f>
        <v>5.0000000000000001E-3</v>
      </c>
    </row>
    <row r="22" spans="1:7">
      <c r="A22" s="35"/>
      <c r="B22" s="38" t="s">
        <v>25</v>
      </c>
      <c r="C22" s="40">
        <f>ROUND('Consol. Historical FS'!C24/'Consol. Historical FS'!C$9,3)</f>
        <v>0.501</v>
      </c>
      <c r="D22" s="40">
        <f>ROUND('Consol. Historical FS'!D24/'Consol. Historical FS'!D$9,3)</f>
        <v>0.35799999999999998</v>
      </c>
      <c r="E22" s="40">
        <f>ROUND('Consol. Historical FS'!E24/'Consol. Historical FS'!E$9,3)</f>
        <v>0.32400000000000001</v>
      </c>
      <c r="F22" s="40">
        <f>ROUND('Consol. Historical FS'!F24/'Consol. Historical FS'!F$9,3)</f>
        <v>0.39200000000000002</v>
      </c>
      <c r="G22" s="40">
        <f>ROUND('Consol. Historical FS'!G24/'Consol. Historical FS'!G$9,3)</f>
        <v>0.436</v>
      </c>
    </row>
    <row r="23" spans="1:7">
      <c r="A23" s="35"/>
      <c r="B23" t="s">
        <v>26</v>
      </c>
      <c r="C23" s="37">
        <f>ROUND('Consol. Historical FS'!C25/'Consol. Historical FS'!C$9,3)</f>
        <v>0</v>
      </c>
      <c r="D23" s="37">
        <f>ROUND('Consol. Historical FS'!D25/'Consol. Historical FS'!D$9,3)</f>
        <v>-2.4E-2</v>
      </c>
      <c r="E23" s="37">
        <f>ROUND('Consol. Historical FS'!E25/'Consol. Historical FS'!E$9,3)</f>
        <v>-6.0999999999999999E-2</v>
      </c>
      <c r="F23" s="37">
        <f>ROUND('Consol. Historical FS'!F25/'Consol. Historical FS'!F$9,3)</f>
        <v>-1.4E-2</v>
      </c>
      <c r="G23" s="37">
        <f>ROUND('Consol. Historical FS'!G25/'Consol. Historical FS'!G$9,3)</f>
        <v>-8.0000000000000002E-3</v>
      </c>
    </row>
    <row r="24" spans="1:7">
      <c r="A24" s="35"/>
      <c r="B24" s="38" t="s">
        <v>27</v>
      </c>
      <c r="C24" s="39">
        <f>ROUND('Consol. Historical FS'!C26/'Consol. Historical FS'!C$9,3)</f>
        <v>0.501</v>
      </c>
      <c r="D24" s="39">
        <f>ROUND('Consol. Historical FS'!D26/'Consol. Historical FS'!D$9,3)</f>
        <v>0.33400000000000002</v>
      </c>
      <c r="E24" s="39">
        <f>ROUND('Consol. Historical FS'!E26/'Consol. Historical FS'!E$9,3)</f>
        <v>0.26300000000000001</v>
      </c>
      <c r="F24" s="39">
        <f>ROUND('Consol. Historical FS'!F26/'Consol. Historical FS'!F$9,3)</f>
        <v>0.378</v>
      </c>
      <c r="G24" s="39">
        <f>ROUND('Consol. Historical FS'!G26/'Consol. Historical FS'!G$9,3)</f>
        <v>0.42799999999999999</v>
      </c>
    </row>
    <row r="25" spans="1:7">
      <c r="A25" s="35"/>
      <c r="B25" t="s">
        <v>28</v>
      </c>
      <c r="C25" s="37">
        <f>ROUND('Consol. Historical FS'!C27/'Consol. Historical FS'!C$9,3)</f>
        <v>0.10100000000000001</v>
      </c>
      <c r="D25" s="37">
        <f>ROUND('Consol. Historical FS'!D27/'Consol. Historical FS'!D$9,3)</f>
        <v>5.1999999999999998E-2</v>
      </c>
      <c r="E25" s="37">
        <f>ROUND('Consol. Historical FS'!E27/'Consol. Historical FS'!E$9,3)</f>
        <v>4.7E-2</v>
      </c>
      <c r="F25" s="37">
        <f>ROUND('Consol. Historical FS'!F27/'Consol. Historical FS'!F$9,3)</f>
        <v>4.2000000000000003E-2</v>
      </c>
      <c r="G25" s="37">
        <f>ROUND('Consol. Historical FS'!G27/'Consol. Historical FS'!G$9,3)</f>
        <v>7.2999999999999995E-2</v>
      </c>
    </row>
    <row r="26" spans="1:7">
      <c r="A26" s="35"/>
      <c r="B26" t="s">
        <v>29</v>
      </c>
      <c r="C26" s="37">
        <f>ROUND('Consol. Historical FS'!C28/'Consol. Historical FS'!C$9,3)</f>
        <v>-0.01</v>
      </c>
      <c r="D26" s="37">
        <f>ROUND('Consol. Historical FS'!D28/'Consol. Historical FS'!D$9,3)</f>
        <v>0</v>
      </c>
      <c r="E26" s="37">
        <f>ROUND('Consol. Historical FS'!E28/'Consol. Historical FS'!E$9,3)</f>
        <v>0</v>
      </c>
      <c r="F26" s="37">
        <f>ROUND('Consol. Historical FS'!F28/'Consol. Historical FS'!F$9,3)</f>
        <v>1.7000000000000001E-2</v>
      </c>
      <c r="G26" s="37">
        <f>ROUND('Consol. Historical FS'!G28/'Consol. Historical FS'!G$9,3)</f>
        <v>0</v>
      </c>
    </row>
    <row r="27" spans="1:7">
      <c r="B27" t="s">
        <v>30</v>
      </c>
      <c r="C27" s="37">
        <f>ROUND('Consol. Historical FS'!C29/'Consol. Historical FS'!C$9,3)</f>
        <v>8.0000000000000002E-3</v>
      </c>
      <c r="D27" s="37">
        <f>ROUND('Consol. Historical FS'!D29/'Consol. Historical FS'!D$9,3)</f>
        <v>-7.0000000000000001E-3</v>
      </c>
      <c r="E27" s="37">
        <f>ROUND('Consol. Historical FS'!E29/'Consol. Historical FS'!E$9,3)</f>
        <v>-4.2000000000000003E-2</v>
      </c>
      <c r="F27" s="37">
        <f>ROUND('Consol. Historical FS'!F29/'Consol. Historical FS'!F$9,3)</f>
        <v>1.4999999999999999E-2</v>
      </c>
      <c r="G27" s="37">
        <f>ROUND('Consol. Historical FS'!G29/'Consol. Historical FS'!G$9,3)</f>
        <v>-8.0000000000000002E-3</v>
      </c>
    </row>
    <row r="28" spans="1:7">
      <c r="B28" s="41" t="s">
        <v>31</v>
      </c>
      <c r="C28" s="39">
        <f>ROUND('Consol. Historical FS'!C30/'Consol. Historical FS'!C$9,3)</f>
        <v>0.40200000000000002</v>
      </c>
      <c r="D28" s="39">
        <f>ROUND('Consol. Historical FS'!D30/'Consol. Historical FS'!D$9,3)</f>
        <v>0.28899999999999998</v>
      </c>
      <c r="E28" s="39">
        <f>ROUND('Consol. Historical FS'!E30/'Consol. Historical FS'!E$9,3)</f>
        <v>0.25900000000000001</v>
      </c>
      <c r="F28" s="39">
        <f>ROUND('Consol. Historical FS'!F30/'Consol. Historical FS'!F$9,3)</f>
        <v>0.30299999999999999</v>
      </c>
      <c r="G28" s="39">
        <f>ROUND('Consol. Historical FS'!G30/'Consol. Historical FS'!G$9,3)</f>
        <v>0.36299999999999999</v>
      </c>
    </row>
    <row r="29" spans="1:7">
      <c r="B29" t="s">
        <v>32</v>
      </c>
      <c r="C29" s="40">
        <f>ROUND('Consol. Historical FS'!C31/'Consol. Historical FS'!C$9,3)</f>
        <v>0</v>
      </c>
      <c r="D29" s="40">
        <f>ROUND('Consol. Historical FS'!D31/'Consol. Historical FS'!D$9,3)</f>
        <v>0</v>
      </c>
      <c r="E29" s="40">
        <f>ROUND('Consol. Historical FS'!E31/'Consol. Historical FS'!E$9,3)</f>
        <v>0</v>
      </c>
      <c r="F29" s="40">
        <f>ROUND('Consol. Historical FS'!F31/'Consol. Historical FS'!F$9,3)</f>
        <v>0</v>
      </c>
      <c r="G29" s="40">
        <f>ROUND('Consol. Historical FS'!G31/'Consol. Historical FS'!G$9,3)</f>
        <v>0</v>
      </c>
    </row>
    <row r="30" spans="1:7">
      <c r="B30" t="s">
        <v>33</v>
      </c>
      <c r="C30" s="37">
        <f>ROUND('Consol. Historical FS'!C32/'Consol. Historical FS'!C$9,3)</f>
        <v>0</v>
      </c>
      <c r="D30" s="37">
        <f>ROUND('Consol. Historical FS'!D32/'Consol. Historical FS'!D$9,3)</f>
        <v>0</v>
      </c>
      <c r="E30" s="37">
        <f>ROUND('Consol. Historical FS'!E32/'Consol. Historical FS'!E$9,3)</f>
        <v>0</v>
      </c>
      <c r="F30" s="37">
        <f>ROUND('Consol. Historical FS'!F32/'Consol. Historical FS'!F$9,3)</f>
        <v>0</v>
      </c>
      <c r="G30" s="37">
        <f>ROUND('Consol. Historical FS'!G32/'Consol. Historical FS'!G$9,3)</f>
        <v>0</v>
      </c>
    </row>
    <row r="31" spans="1:7">
      <c r="B31" s="41" t="s">
        <v>34</v>
      </c>
      <c r="C31" s="42">
        <f>ROUND('Consol. Historical FS'!C33/'Consol. Historical FS'!C$9,3)</f>
        <v>0</v>
      </c>
      <c r="D31" s="42">
        <f>ROUND('Consol. Historical FS'!D33/'Consol. Historical FS'!D$9,3)</f>
        <v>0</v>
      </c>
      <c r="E31" s="42">
        <f>ROUND('Consol. Historical FS'!E33/'Consol. Historical FS'!E$9,3)</f>
        <v>0</v>
      </c>
      <c r="F31" s="42">
        <f>ROUND('Consol. Historical FS'!F33/'Consol. Historical FS'!F$9,3)</f>
        <v>0</v>
      </c>
      <c r="G31" s="42">
        <f>ROUND('Consol. Historical FS'!G33/'Consol. Historical FS'!G$9,3)</f>
        <v>0</v>
      </c>
    </row>
    <row r="32" spans="1:7">
      <c r="B32" s="43" t="s">
        <v>35</v>
      </c>
      <c r="C32" s="44">
        <f>ROUND('Consol. Historical FS'!C34/'Consol. Historical FS'!C$9,3)</f>
        <v>0.40200000000000002</v>
      </c>
      <c r="D32" s="44">
        <f>ROUND('Consol. Historical FS'!D34/'Consol. Historical FS'!D$9,3)</f>
        <v>0.28899999999999998</v>
      </c>
      <c r="E32" s="44">
        <f>ROUND('Consol. Historical FS'!E34/'Consol. Historical FS'!E$9,3)</f>
        <v>0.25900000000000001</v>
      </c>
      <c r="F32" s="44">
        <f>ROUND('Consol. Historical FS'!F34/'Consol. Historical FS'!F$9,3)</f>
        <v>0.30299999999999999</v>
      </c>
      <c r="G32" s="44">
        <f>ROUND('Consol. Historical FS'!G34/'Consol. Historical FS'!G$9,3)</f>
        <v>0.36299999999999999</v>
      </c>
    </row>
    <row r="33" spans="1:7">
      <c r="B33" s="45" t="s">
        <v>36</v>
      </c>
      <c r="C33" s="46"/>
      <c r="D33" s="46"/>
      <c r="E33" s="46"/>
      <c r="F33" s="46"/>
      <c r="G33" s="46"/>
    </row>
    <row r="34" spans="1:7">
      <c r="B34" s="47" t="s">
        <v>37</v>
      </c>
      <c r="C34" s="37">
        <f>ROUND('Consol. Historical FS'!C36/'Consol. Historical FS'!C$9,3)</f>
        <v>0.39800000000000002</v>
      </c>
      <c r="D34" s="37">
        <f>ROUND('Consol. Historical FS'!D36/'Consol. Historical FS'!D$9,3)</f>
        <v>0.28499999999999998</v>
      </c>
      <c r="E34" s="37">
        <f>ROUND('Consol. Historical FS'!E36/'Consol. Historical FS'!E$9,3)</f>
        <v>0.255</v>
      </c>
      <c r="F34" s="37">
        <f>ROUND('Consol. Historical FS'!F36/'Consol. Historical FS'!F$9,3)</f>
        <v>0.30399999999999999</v>
      </c>
      <c r="G34" s="37">
        <f>ROUND('Consol. Historical FS'!G36/'Consol. Historical FS'!G$9,3)</f>
        <v>0.36399999999999999</v>
      </c>
    </row>
    <row r="35" spans="1:7">
      <c r="B35" s="47" t="s">
        <v>38</v>
      </c>
      <c r="C35" s="37">
        <f>ROUND('Consol. Historical FS'!C37/'Consol. Historical FS'!C$9,3)</f>
        <v>4.0000000000000001E-3</v>
      </c>
      <c r="D35" s="37">
        <f>ROUND('Consol. Historical FS'!D37/'Consol. Historical FS'!D$9,3)</f>
        <v>4.0000000000000001E-3</v>
      </c>
      <c r="E35" s="37">
        <f>ROUND('Consol. Historical FS'!E37/'Consol. Historical FS'!E$9,3)</f>
        <v>4.0000000000000001E-3</v>
      </c>
      <c r="F35" s="37">
        <f>ROUND('Consol. Historical FS'!F37/'Consol. Historical FS'!F$9,3)</f>
        <v>0</v>
      </c>
      <c r="G35" s="37">
        <f>ROUND('Consol. Historical FS'!G37/'Consol. Historical FS'!G$9,3)</f>
        <v>-1E-3</v>
      </c>
    </row>
    <row r="36" spans="1:7">
      <c r="B36" s="48"/>
    </row>
    <row r="37" spans="1:7">
      <c r="A37" s="93" t="s">
        <v>8</v>
      </c>
      <c r="B37" s="93" t="s">
        <v>178</v>
      </c>
      <c r="C37" s="94"/>
      <c r="D37" s="94"/>
      <c r="E37" s="94"/>
      <c r="F37" s="94"/>
      <c r="G37" s="94"/>
    </row>
    <row r="39" spans="1:7">
      <c r="B39" s="95" t="s">
        <v>40</v>
      </c>
    </row>
    <row r="40" spans="1:7">
      <c r="B40" s="35" t="s">
        <v>41</v>
      </c>
    </row>
    <row r="41" spans="1:7">
      <c r="B41" t="s">
        <v>42</v>
      </c>
      <c r="C41" s="49">
        <f>ROUND('Consol. Historical FS'!C43/'Consol. Historical FS'!C$73,3)</f>
        <v>0.48799999999999999</v>
      </c>
      <c r="D41" s="49">
        <f>ROUND('Consol. Historical FS'!D43/'Consol. Historical FS'!D$73,3)</f>
        <v>0.41599999999999998</v>
      </c>
      <c r="E41" s="49">
        <f>ROUND('Consol. Historical FS'!E43/'Consol. Historical FS'!E$73,3)</f>
        <v>0.42099999999999999</v>
      </c>
      <c r="F41" s="49">
        <f>ROUND('Consol. Historical FS'!F43/'Consol. Historical FS'!F$73,3)</f>
        <v>0.436</v>
      </c>
      <c r="G41" s="49">
        <f>ROUND('Consol. Historical FS'!G43/'Consol. Historical FS'!G$73,3)</f>
        <v>0.46100000000000002</v>
      </c>
    </row>
    <row r="42" spans="1:7">
      <c r="B42" t="s">
        <v>43</v>
      </c>
      <c r="C42" s="49">
        <f>ROUND('Consol. Historical FS'!C44/'Consol. Historical FS'!C$73,3)</f>
        <v>2.4E-2</v>
      </c>
      <c r="D42" s="49">
        <f>ROUND('Consol. Historical FS'!D44/'Consol. Historical FS'!D$73,3)</f>
        <v>2.8000000000000001E-2</v>
      </c>
      <c r="E42" s="49">
        <f>ROUND('Consol. Historical FS'!E44/'Consol. Historical FS'!E$73,3)</f>
        <v>3.1E-2</v>
      </c>
      <c r="F42" s="49">
        <f>ROUND('Consol. Historical FS'!F44/'Consol. Historical FS'!F$73,3)</f>
        <v>3.2000000000000001E-2</v>
      </c>
      <c r="G42" s="49">
        <f>ROUND('Consol. Historical FS'!G44/'Consol. Historical FS'!G$73,3)</f>
        <v>4.5999999999999999E-2</v>
      </c>
    </row>
    <row r="43" spans="1:7">
      <c r="B43" t="s">
        <v>44</v>
      </c>
      <c r="C43" s="49">
        <f>ROUND('Consol. Historical FS'!C45/'Consol. Historical FS'!C$73,3)</f>
        <v>4.9000000000000002E-2</v>
      </c>
      <c r="D43" s="49">
        <f>ROUND('Consol. Historical FS'!D45/'Consol. Historical FS'!D$73,3)</f>
        <v>0.04</v>
      </c>
      <c r="E43" s="49">
        <f>ROUND('Consol. Historical FS'!E45/'Consol. Historical FS'!E$73,3)</f>
        <v>5.8999999999999997E-2</v>
      </c>
      <c r="F43" s="49">
        <f>ROUND('Consol. Historical FS'!F45/'Consol. Historical FS'!F$73,3)</f>
        <v>9.1999999999999998E-2</v>
      </c>
      <c r="G43" s="49">
        <f>ROUND('Consol. Historical FS'!G45/'Consol. Historical FS'!G$73,3)</f>
        <v>8.5999999999999993E-2</v>
      </c>
    </row>
    <row r="44" spans="1:7">
      <c r="B44" t="s">
        <v>45</v>
      </c>
      <c r="C44" s="49">
        <f>ROUND('Consol. Historical FS'!C46/'Consol. Historical FS'!C$73,3)</f>
        <v>0</v>
      </c>
      <c r="D44" s="49">
        <f>ROUND('Consol. Historical FS'!D46/'Consol. Historical FS'!D$73,3)</f>
        <v>0</v>
      </c>
      <c r="E44" s="49">
        <f>ROUND('Consol. Historical FS'!E46/'Consol. Historical FS'!E$73,3)</f>
        <v>2.1999999999999999E-2</v>
      </c>
      <c r="F44" s="49">
        <f>ROUND('Consol. Historical FS'!F46/'Consol. Historical FS'!F$73,3)</f>
        <v>1.0999999999999999E-2</v>
      </c>
      <c r="G44" s="49">
        <f>ROUND('Consol. Historical FS'!G46/'Consol. Historical FS'!G$73,3)</f>
        <v>1.0999999999999999E-2</v>
      </c>
    </row>
    <row r="45" spans="1:7">
      <c r="B45" t="s">
        <v>46</v>
      </c>
      <c r="C45" s="49">
        <f>ROUND('Consol. Historical FS'!C47/'Consol. Historical FS'!C$73,3)</f>
        <v>5.3999999999999999E-2</v>
      </c>
      <c r="D45" s="49">
        <f>ROUND('Consol. Historical FS'!D47/'Consol. Historical FS'!D$73,3)</f>
        <v>6.7000000000000004E-2</v>
      </c>
      <c r="E45" s="49">
        <f>ROUND('Consol. Historical FS'!E47/'Consol. Historical FS'!E$73,3)</f>
        <v>6.0999999999999999E-2</v>
      </c>
      <c r="F45" s="49">
        <f>ROUND('Consol. Historical FS'!F47/'Consol. Historical FS'!F$73,3)</f>
        <v>5.8000000000000003E-2</v>
      </c>
      <c r="G45" s="49">
        <f>ROUND('Consol. Historical FS'!G47/'Consol. Historical FS'!G$73,3)</f>
        <v>5.1999999999999998E-2</v>
      </c>
    </row>
    <row r="46" spans="1:7">
      <c r="B46" t="s">
        <v>47</v>
      </c>
      <c r="C46" s="49">
        <f>ROUND('Consol. Historical FS'!C48/'Consol. Historical FS'!C$73,3)</f>
        <v>7.2999999999999995E-2</v>
      </c>
      <c r="D46" s="49">
        <f>ROUND('Consol. Historical FS'!D48/'Consol. Historical FS'!D$73,3)</f>
        <v>0.11600000000000001</v>
      </c>
      <c r="E46" s="49">
        <f>ROUND('Consol. Historical FS'!E48/'Consol. Historical FS'!E$73,3)</f>
        <v>0.1</v>
      </c>
      <c r="F46" s="49">
        <f>ROUND('Consol. Historical FS'!F48/'Consol. Historical FS'!F$73,3)</f>
        <v>9.5000000000000001E-2</v>
      </c>
      <c r="G46" s="49">
        <f>ROUND('Consol. Historical FS'!G48/'Consol. Historical FS'!G$73,3)</f>
        <v>9.1999999999999998E-2</v>
      </c>
    </row>
    <row r="47" spans="1:7">
      <c r="B47" t="s">
        <v>48</v>
      </c>
      <c r="C47" s="49">
        <f>ROUND('Consol. Historical FS'!C49/'Consol. Historical FS'!C$73,3)</f>
        <v>0</v>
      </c>
      <c r="D47" s="49">
        <f>ROUND('Consol. Historical FS'!D49/'Consol. Historical FS'!D$73,3)</f>
        <v>0</v>
      </c>
      <c r="E47" s="49">
        <f>ROUND('Consol. Historical FS'!E49/'Consol. Historical FS'!E$73,3)</f>
        <v>0</v>
      </c>
      <c r="F47" s="49">
        <f>ROUND('Consol. Historical FS'!F49/'Consol. Historical FS'!F$73,3)</f>
        <v>0</v>
      </c>
      <c r="G47" s="49">
        <f>ROUND('Consol. Historical FS'!G49/'Consol. Historical FS'!G$73,3)</f>
        <v>1E-3</v>
      </c>
    </row>
    <row r="48" spans="1:7">
      <c r="B48" t="s">
        <v>49</v>
      </c>
      <c r="C48" s="49">
        <f>ROUND('Consol. Historical FS'!C50/'Consol. Historical FS'!C$73,3)</f>
        <v>8.9999999999999993E-3</v>
      </c>
      <c r="D48" s="49">
        <f>ROUND('Consol. Historical FS'!D50/'Consol. Historical FS'!D$73,3)</f>
        <v>1.2E-2</v>
      </c>
      <c r="E48" s="49">
        <f>ROUND('Consol. Historical FS'!E50/'Consol. Historical FS'!E$73,3)</f>
        <v>2.1999999999999999E-2</v>
      </c>
      <c r="F48" s="49">
        <f>ROUND('Consol. Historical FS'!F50/'Consol. Historical FS'!F$73,3)</f>
        <v>2.3E-2</v>
      </c>
      <c r="G48" s="49">
        <f>ROUND('Consol. Historical FS'!G50/'Consol. Historical FS'!G$73,3)</f>
        <v>2.3E-2</v>
      </c>
    </row>
    <row r="49" spans="2:7">
      <c r="B49" t="s">
        <v>50</v>
      </c>
      <c r="C49" s="49">
        <f>ROUND('Consol. Historical FS'!C51/'Consol. Historical FS'!C$73,3)</f>
        <v>0</v>
      </c>
      <c r="D49" s="49">
        <f>ROUND('Consol. Historical FS'!D51/'Consol. Historical FS'!D$73,3)</f>
        <v>0</v>
      </c>
      <c r="E49" s="49">
        <f>ROUND('Consol. Historical FS'!E51/'Consol. Historical FS'!E$73,3)</f>
        <v>0</v>
      </c>
      <c r="F49" s="49">
        <f>ROUND('Consol. Historical FS'!F51/'Consol. Historical FS'!F$73,3)</f>
        <v>0</v>
      </c>
      <c r="G49" s="49">
        <f>ROUND('Consol. Historical FS'!G51/'Consol. Historical FS'!G$73,3)</f>
        <v>0</v>
      </c>
    </row>
    <row r="50" spans="2:7">
      <c r="B50" s="50" t="s">
        <v>51</v>
      </c>
      <c r="C50" s="49">
        <f>ROUND('Consol. Historical FS'!C52/'Consol. Historical FS'!C$73,3)</f>
        <v>6.0000000000000001E-3</v>
      </c>
      <c r="D50" s="49">
        <f>ROUND('Consol. Historical FS'!D52/'Consol. Historical FS'!D$73,3)</f>
        <v>1.9E-2</v>
      </c>
      <c r="E50" s="49">
        <f>ROUND('Consol. Historical FS'!E52/'Consol. Historical FS'!E$73,3)</f>
        <v>8.9999999999999993E-3</v>
      </c>
      <c r="F50" s="49">
        <f>ROUND('Consol. Historical FS'!F52/'Consol. Historical FS'!F$73,3)</f>
        <v>8.0000000000000002E-3</v>
      </c>
      <c r="G50" s="49">
        <f>ROUND('Consol. Historical FS'!G52/'Consol. Historical FS'!G$73,3)</f>
        <v>6.0000000000000001E-3</v>
      </c>
    </row>
    <row r="51" spans="2:7">
      <c r="B51" s="50" t="s">
        <v>52</v>
      </c>
      <c r="C51" s="49">
        <f>ROUND('Consol. Historical FS'!C53/'Consol. Historical FS'!C$73,3)</f>
        <v>8.1000000000000003E-2</v>
      </c>
      <c r="D51" s="49">
        <f>ROUND('Consol. Historical FS'!D53/'Consol. Historical FS'!D$73,3)</f>
        <v>8.3000000000000004E-2</v>
      </c>
      <c r="E51" s="49">
        <f>ROUND('Consol. Historical FS'!E53/'Consol. Historical FS'!E$73,3)</f>
        <v>6.7000000000000004E-2</v>
      </c>
      <c r="F51" s="49">
        <f>ROUND('Consol. Historical FS'!F53/'Consol. Historical FS'!F$73,3)</f>
        <v>0.04</v>
      </c>
      <c r="G51" s="49">
        <f>ROUND('Consol. Historical FS'!G53/'Consol. Historical FS'!G$73,3)</f>
        <v>4.2000000000000003E-2</v>
      </c>
    </row>
    <row r="52" spans="2:7">
      <c r="B52" t="s">
        <v>53</v>
      </c>
      <c r="C52" s="49">
        <f>ROUND('Consol. Historical FS'!C54/'Consol. Historical FS'!C$73,3)</f>
        <v>1.2E-2</v>
      </c>
      <c r="D52" s="49">
        <f>ROUND('Consol. Historical FS'!D54/'Consol. Historical FS'!D$73,3)</f>
        <v>1.4E-2</v>
      </c>
      <c r="E52" s="49">
        <f>ROUND('Consol. Historical FS'!E54/'Consol. Historical FS'!E$73,3)</f>
        <v>1.9E-2</v>
      </c>
      <c r="F52" s="49">
        <f>ROUND('Consol. Historical FS'!F54/'Consol. Historical FS'!F$73,3)</f>
        <v>1.6E-2</v>
      </c>
      <c r="G52" s="49">
        <f>ROUND('Consol. Historical FS'!G54/'Consol. Historical FS'!G$73,3)</f>
        <v>1.4E-2</v>
      </c>
    </row>
    <row r="53" spans="2:7">
      <c r="B53" t="s">
        <v>54</v>
      </c>
      <c r="C53" s="49">
        <f>ROUND('Consol. Historical FS'!C55/'Consol. Historical FS'!C$73,3)</f>
        <v>0</v>
      </c>
      <c r="D53" s="49">
        <f>ROUND('Consol. Historical FS'!D55/'Consol. Historical FS'!D$73,3)</f>
        <v>0</v>
      </c>
      <c r="E53" s="49">
        <f>ROUND('Consol. Historical FS'!E55/'Consol. Historical FS'!E$73,3)</f>
        <v>0</v>
      </c>
      <c r="F53" s="49">
        <f>ROUND('Consol. Historical FS'!F55/'Consol. Historical FS'!F$73,3)</f>
        <v>0</v>
      </c>
      <c r="G53" s="49">
        <f>ROUND('Consol. Historical FS'!G55/'Consol. Historical FS'!G$73,3)</f>
        <v>0</v>
      </c>
    </row>
    <row r="54" spans="2:7">
      <c r="B54" t="s">
        <v>55</v>
      </c>
      <c r="C54" s="49">
        <f>ROUND('Consol. Historical FS'!C56/'Consol. Historical FS'!C$73,3)</f>
        <v>3.4000000000000002E-2</v>
      </c>
      <c r="D54" s="49">
        <f>ROUND('Consol. Historical FS'!D56/'Consol. Historical FS'!D$73,3)</f>
        <v>2.3E-2</v>
      </c>
      <c r="E54" s="49">
        <f>ROUND('Consol. Historical FS'!E56/'Consol. Historical FS'!E$73,3)</f>
        <v>3.7999999999999999E-2</v>
      </c>
      <c r="F54" s="49">
        <f>ROUND('Consol. Historical FS'!F56/'Consol. Historical FS'!F$73,3)</f>
        <v>4.2999999999999997E-2</v>
      </c>
      <c r="G54" s="49">
        <f>ROUND('Consol. Historical FS'!G56/'Consol. Historical FS'!G$73,3)</f>
        <v>2.5999999999999999E-2</v>
      </c>
    </row>
    <row r="55" spans="2:7">
      <c r="B55" s="41" t="s">
        <v>56</v>
      </c>
      <c r="C55" s="51">
        <f>ROUND('Consol. Historical FS'!C57/'Consol. Historical FS'!C$73,3)</f>
        <v>0.83</v>
      </c>
      <c r="D55" s="51">
        <f>ROUND('Consol. Historical FS'!D57/'Consol. Historical FS'!D$73,3)</f>
        <v>0.81899999999999995</v>
      </c>
      <c r="E55" s="51">
        <f>ROUND('Consol. Historical FS'!E57/'Consol. Historical FS'!E$73,3)</f>
        <v>0.84799999999999998</v>
      </c>
      <c r="F55" s="51">
        <f>ROUND('Consol. Historical FS'!F57/'Consol. Historical FS'!F$73,3)</f>
        <v>0.85299999999999998</v>
      </c>
      <c r="G55" s="51">
        <f>ROUND('Consol. Historical FS'!G57/'Consol. Historical FS'!G$73,3)</f>
        <v>0.86</v>
      </c>
    </row>
    <row r="56" spans="2:7">
      <c r="C56" s="52"/>
      <c r="D56" s="52"/>
      <c r="E56" s="52"/>
      <c r="F56" s="52"/>
      <c r="G56" s="52"/>
    </row>
    <row r="57" spans="2:7">
      <c r="B57" s="35" t="s">
        <v>57</v>
      </c>
    </row>
    <row r="58" spans="2:7">
      <c r="B58" t="s">
        <v>58</v>
      </c>
      <c r="C58" s="49">
        <f>ROUND('Consol. Historical FS'!C60/'Consol. Historical FS'!C$73,3)</f>
        <v>1.2999999999999999E-2</v>
      </c>
      <c r="D58" s="49">
        <f>ROUND('Consol. Historical FS'!D60/'Consol. Historical FS'!D$73,3)</f>
        <v>4.0000000000000001E-3</v>
      </c>
      <c r="E58" s="49">
        <f>ROUND('Consol. Historical FS'!E60/'Consol. Historical FS'!E$73,3)</f>
        <v>4.0000000000000001E-3</v>
      </c>
      <c r="F58" s="49">
        <f>ROUND('Consol. Historical FS'!F60/'Consol. Historical FS'!F$73,3)</f>
        <v>4.0000000000000001E-3</v>
      </c>
      <c r="G58" s="49">
        <f>ROUND('Consol. Historical FS'!G60/'Consol. Historical FS'!G$73,3)</f>
        <v>4.0000000000000001E-3</v>
      </c>
    </row>
    <row r="59" spans="2:7">
      <c r="B59" t="s">
        <v>50</v>
      </c>
      <c r="C59" s="49">
        <f>ROUND('Consol. Historical FS'!C61/'Consol. Historical FS'!C$73,3)</f>
        <v>0</v>
      </c>
      <c r="D59" s="49">
        <f>ROUND('Consol. Historical FS'!D61/'Consol. Historical FS'!D$73,3)</f>
        <v>0</v>
      </c>
      <c r="E59" s="49">
        <f>ROUND('Consol. Historical FS'!E61/'Consol. Historical FS'!E$73,3)</f>
        <v>0</v>
      </c>
      <c r="F59" s="49">
        <f>ROUND('Consol. Historical FS'!F61/'Consol. Historical FS'!F$73,3)</f>
        <v>0</v>
      </c>
      <c r="G59" s="49">
        <f>ROUND('Consol. Historical FS'!G61/'Consol. Historical FS'!G$73,3)</f>
        <v>0</v>
      </c>
    </row>
    <row r="60" spans="2:7">
      <c r="B60" s="50" t="s">
        <v>59</v>
      </c>
      <c r="C60" s="49">
        <f>ROUND('Consol. Historical FS'!C62/'Consol. Historical FS'!C$73,3)</f>
        <v>1.4999999999999999E-2</v>
      </c>
      <c r="D60" s="49">
        <f>ROUND('Consol. Historical FS'!D62/'Consol. Historical FS'!D$73,3)</f>
        <v>0</v>
      </c>
      <c r="E60" s="49">
        <f>ROUND('Consol. Historical FS'!E62/'Consol. Historical FS'!E$73,3)</f>
        <v>3.5000000000000003E-2</v>
      </c>
      <c r="F60" s="49">
        <f>ROUND('Consol. Historical FS'!F62/'Consol. Historical FS'!F$73,3)</f>
        <v>6.0000000000000001E-3</v>
      </c>
      <c r="G60" s="49">
        <f>ROUND('Consol. Historical FS'!G62/'Consol. Historical FS'!G$73,3)</f>
        <v>6.0000000000000001E-3</v>
      </c>
    </row>
    <row r="61" spans="2:7">
      <c r="B61" s="50" t="s">
        <v>60</v>
      </c>
      <c r="C61" s="49">
        <f>ROUND('Consol. Historical FS'!C63/'Consol. Historical FS'!C$73,3)</f>
        <v>3.2000000000000001E-2</v>
      </c>
      <c r="D61" s="49">
        <f>ROUND('Consol. Historical FS'!D63/'Consol. Historical FS'!D$73,3)</f>
        <v>2.1999999999999999E-2</v>
      </c>
      <c r="E61" s="49">
        <f>ROUND('Consol. Historical FS'!E63/'Consol. Historical FS'!E$73,3)</f>
        <v>2.8000000000000001E-2</v>
      </c>
      <c r="F61" s="49">
        <f>ROUND('Consol. Historical FS'!F63/'Consol. Historical FS'!F$73,3)</f>
        <v>3.1E-2</v>
      </c>
      <c r="G61" s="49">
        <f>ROUND('Consol. Historical FS'!G63/'Consol. Historical FS'!G$73,3)</f>
        <v>3.3000000000000002E-2</v>
      </c>
    </row>
    <row r="62" spans="2:7">
      <c r="B62" s="50" t="s">
        <v>61</v>
      </c>
      <c r="C62" s="49">
        <f>ROUND('Consol. Historical FS'!C64/'Consol. Historical FS'!C$73,3)</f>
        <v>5.6000000000000001E-2</v>
      </c>
      <c r="D62" s="49">
        <f>ROUND('Consol. Historical FS'!D64/'Consol. Historical FS'!D$73,3)</f>
        <v>8.6999999999999994E-2</v>
      </c>
      <c r="E62" s="49">
        <f>ROUND('Consol. Historical FS'!E64/'Consol. Historical FS'!E$73,3)</f>
        <v>8.0000000000000002E-3</v>
      </c>
      <c r="F62" s="49">
        <f>ROUND('Consol. Historical FS'!F64/'Consol. Historical FS'!F$73,3)</f>
        <v>1.2999999999999999E-2</v>
      </c>
      <c r="G62" s="49">
        <f>ROUND('Consol. Historical FS'!G64/'Consol. Historical FS'!G$73,3)</f>
        <v>2.5000000000000001E-2</v>
      </c>
    </row>
    <row r="63" spans="2:7">
      <c r="B63" s="50" t="s">
        <v>62</v>
      </c>
      <c r="C63" s="49">
        <f>ROUND('Consol. Historical FS'!C65/'Consol. Historical FS'!C$73,3)</f>
        <v>7.0000000000000001E-3</v>
      </c>
      <c r="D63" s="49">
        <f>ROUND('Consol. Historical FS'!D65/'Consol. Historical FS'!D$73,3)</f>
        <v>0.02</v>
      </c>
      <c r="E63" s="49">
        <f>ROUND('Consol. Historical FS'!E65/'Consol. Historical FS'!E$73,3)</f>
        <v>2.9000000000000001E-2</v>
      </c>
      <c r="F63" s="49">
        <f>ROUND('Consol. Historical FS'!F65/'Consol. Historical FS'!F$73,3)</f>
        <v>5.0999999999999997E-2</v>
      </c>
      <c r="G63" s="49">
        <f>ROUND('Consol. Historical FS'!G65/'Consol. Historical FS'!G$73,3)</f>
        <v>2.4E-2</v>
      </c>
    </row>
    <row r="64" spans="2:7">
      <c r="B64" s="50" t="s">
        <v>63</v>
      </c>
      <c r="C64" s="49">
        <f>ROUND('Consol. Historical FS'!C66/'Consol. Historical FS'!C$73,3)</f>
        <v>1.4E-2</v>
      </c>
      <c r="D64" s="49">
        <f>ROUND('Consol. Historical FS'!D66/'Consol. Historical FS'!D$73,3)</f>
        <v>1.2999999999999999E-2</v>
      </c>
      <c r="E64" s="49">
        <f>ROUND('Consol. Historical FS'!E66/'Consol. Historical FS'!E$73,3)</f>
        <v>4.0000000000000001E-3</v>
      </c>
      <c r="F64" s="49">
        <f>ROUND('Consol. Historical FS'!F66/'Consol. Historical FS'!F$73,3)</f>
        <v>2E-3</v>
      </c>
      <c r="G64" s="49">
        <f>ROUND('Consol. Historical FS'!G66/'Consol. Historical FS'!G$73,3)</f>
        <v>1E-3</v>
      </c>
    </row>
    <row r="65" spans="2:7">
      <c r="B65" s="50" t="s">
        <v>64</v>
      </c>
      <c r="C65" s="49">
        <f>ROUND('Consol. Historical FS'!C67/'Consol. Historical FS'!C$73,3)</f>
        <v>0</v>
      </c>
      <c r="D65" s="49">
        <f>ROUND('Consol. Historical FS'!D67/'Consol. Historical FS'!D$73,3)</f>
        <v>0</v>
      </c>
      <c r="E65" s="49">
        <f>ROUND('Consol. Historical FS'!E67/'Consol. Historical FS'!E$73,3)</f>
        <v>0</v>
      </c>
      <c r="F65" s="49">
        <f>ROUND('Consol. Historical FS'!F67/'Consol. Historical FS'!F$73,3)</f>
        <v>0</v>
      </c>
      <c r="G65" s="49">
        <f>ROUND('Consol. Historical FS'!G67/'Consol. Historical FS'!G$73,3)</f>
        <v>0</v>
      </c>
    </row>
    <row r="66" spans="2:7">
      <c r="B66" s="50" t="s">
        <v>65</v>
      </c>
      <c r="C66" s="49">
        <f>ROUND('Consol. Historical FS'!C68/'Consol. Historical FS'!C$73,3)</f>
        <v>1.4999999999999999E-2</v>
      </c>
      <c r="D66" s="49">
        <f>ROUND('Consol. Historical FS'!D68/'Consol. Historical FS'!D$73,3)</f>
        <v>8.0000000000000002E-3</v>
      </c>
      <c r="E66" s="49">
        <f>ROUND('Consol. Historical FS'!E68/'Consol. Historical FS'!E$73,3)</f>
        <v>1.7000000000000001E-2</v>
      </c>
      <c r="F66" s="49">
        <f>ROUND('Consol. Historical FS'!F68/'Consol. Historical FS'!F$73,3)</f>
        <v>2.9000000000000001E-2</v>
      </c>
      <c r="G66" s="49">
        <f>ROUND('Consol. Historical FS'!G68/'Consol. Historical FS'!G$73,3)</f>
        <v>3.3000000000000002E-2</v>
      </c>
    </row>
    <row r="67" spans="2:7">
      <c r="B67" t="s">
        <v>66</v>
      </c>
      <c r="C67" s="49">
        <f>ROUND('Consol. Historical FS'!C69/'Consol. Historical FS'!C$73,3)</f>
        <v>1.2999999999999999E-2</v>
      </c>
      <c r="D67" s="49">
        <f>ROUND('Consol. Historical FS'!D69/'Consol. Historical FS'!D$73,3)</f>
        <v>7.0000000000000001E-3</v>
      </c>
      <c r="E67" s="49">
        <f>ROUND('Consol. Historical FS'!E69/'Consol. Historical FS'!E$73,3)</f>
        <v>0.01</v>
      </c>
      <c r="F67" s="49">
        <f>ROUND('Consol. Historical FS'!F69/'Consol. Historical FS'!F$73,3)</f>
        <v>0.01</v>
      </c>
      <c r="G67" s="49">
        <f>ROUND('Consol. Historical FS'!G69/'Consol. Historical FS'!G$73,3)</f>
        <v>1.2999999999999999E-2</v>
      </c>
    </row>
    <row r="68" spans="2:7">
      <c r="B68" t="s">
        <v>179</v>
      </c>
      <c r="C68" s="49">
        <f>ROUND('Consol. Historical FS'!C70/'Consol. Historical FS'!C$73,3)</f>
        <v>0</v>
      </c>
      <c r="D68" s="49">
        <f>ROUND('Consol. Historical FS'!D70/'Consol. Historical FS'!D$73,3)</f>
        <v>0</v>
      </c>
      <c r="E68" s="49">
        <f>ROUND('Consol. Historical FS'!E70/'Consol. Historical FS'!E$73,3)</f>
        <v>0</v>
      </c>
      <c r="F68" s="49">
        <f>ROUND('Consol. Historical FS'!F70/'Consol. Historical FS'!F$73,3)</f>
        <v>0</v>
      </c>
      <c r="G68" s="49">
        <f>ROUND('Consol. Historical FS'!G70/'Consol. Historical FS'!G$73,3)</f>
        <v>0</v>
      </c>
    </row>
    <row r="69" spans="2:7">
      <c r="B69" s="41" t="s">
        <v>67</v>
      </c>
      <c r="C69" s="53">
        <f>ROUND('Consol. Historical FS'!C71/'Consol. Historical FS'!C$73,3)</f>
        <v>0.16600000000000001</v>
      </c>
      <c r="D69" s="53">
        <f>ROUND('Consol. Historical FS'!D71/'Consol. Historical FS'!D$73,3)</f>
        <v>0.16200000000000001</v>
      </c>
      <c r="E69" s="53">
        <f>ROUND('Consol. Historical FS'!E71/'Consol. Historical FS'!E$73,3)</f>
        <v>0.13500000000000001</v>
      </c>
      <c r="F69" s="53">
        <f>ROUND('Consol. Historical FS'!F71/'Consol. Historical FS'!F$73,3)</f>
        <v>0.14499999999999999</v>
      </c>
      <c r="G69" s="53">
        <f>ROUND('Consol. Historical FS'!G71/'Consol. Historical FS'!G$73,3)</f>
        <v>0.13900000000000001</v>
      </c>
    </row>
    <row r="70" spans="2:7">
      <c r="B70" s="52" t="s">
        <v>68</v>
      </c>
      <c r="C70" s="54">
        <f>ROUND('Consol. Historical FS'!C72/'Consol. Historical FS'!C$73,3)</f>
        <v>5.0000000000000001E-3</v>
      </c>
      <c r="D70" s="54">
        <f>ROUND('Consol. Historical FS'!D72/'Consol. Historical FS'!D$73,3)</f>
        <v>1.9E-2</v>
      </c>
      <c r="E70" s="54">
        <f>ROUND('Consol. Historical FS'!E72/'Consol. Historical FS'!E$73,3)</f>
        <v>1.7000000000000001E-2</v>
      </c>
      <c r="F70" s="54">
        <f>ROUND('Consol. Historical FS'!F72/'Consol. Historical FS'!F$73,3)</f>
        <v>2E-3</v>
      </c>
      <c r="G70" s="54">
        <f>ROUND('Consol. Historical FS'!G72/'Consol. Historical FS'!G$73,3)</f>
        <v>1E-3</v>
      </c>
    </row>
    <row r="71" spans="2:7">
      <c r="B71" s="43" t="s">
        <v>69</v>
      </c>
      <c r="C71" s="55">
        <f>ROUND('Consol. Historical FS'!C73/'Consol. Historical FS'!C$73,3)</f>
        <v>1</v>
      </c>
      <c r="D71" s="55">
        <f>ROUND('Consol. Historical FS'!D73/'Consol. Historical FS'!D$73,3)</f>
        <v>1</v>
      </c>
      <c r="E71" s="55">
        <f>ROUND('Consol. Historical FS'!E73/'Consol. Historical FS'!E$73,3)</f>
        <v>1</v>
      </c>
      <c r="F71" s="55">
        <f>ROUND('Consol. Historical FS'!F73/'Consol. Historical FS'!F$73,3)</f>
        <v>1</v>
      </c>
      <c r="G71" s="55">
        <f>ROUND('Consol. Historical FS'!G73/'Consol. Historical FS'!G$73,3)</f>
        <v>1</v>
      </c>
    </row>
    <row r="72" spans="2:7">
      <c r="B72" s="35"/>
    </row>
    <row r="73" spans="2:7">
      <c r="B73" s="95" t="s">
        <v>70</v>
      </c>
    </row>
    <row r="74" spans="2:7">
      <c r="B74" s="35" t="s">
        <v>71</v>
      </c>
    </row>
    <row r="75" spans="2:7">
      <c r="B75" t="s">
        <v>72</v>
      </c>
      <c r="C75" s="49">
        <f>ROUND('Consol. Historical FS'!C77/'Consol. Historical FS'!C$73,3)</f>
        <v>5.0000000000000001E-3</v>
      </c>
      <c r="D75" s="49">
        <f>ROUND('Consol. Historical FS'!D77/'Consol. Historical FS'!D$73,3)</f>
        <v>4.0000000000000001E-3</v>
      </c>
      <c r="E75" s="49">
        <f>ROUND('Consol. Historical FS'!E77/'Consol. Historical FS'!E$73,3)</f>
        <v>4.0000000000000001E-3</v>
      </c>
      <c r="F75" s="49">
        <f>ROUND('Consol. Historical FS'!F77/'Consol. Historical FS'!F$73,3)</f>
        <v>4.0000000000000001E-3</v>
      </c>
      <c r="G75" s="49">
        <f>ROUND('Consol. Historical FS'!G77/'Consol. Historical FS'!G$73,3)</f>
        <v>3.0000000000000001E-3</v>
      </c>
    </row>
    <row r="76" spans="2:7">
      <c r="B76" t="s">
        <v>73</v>
      </c>
      <c r="C76" s="49">
        <f>ROUND('Consol. Historical FS'!C78/'Consol. Historical FS'!C$73,3)</f>
        <v>0.40100000000000002</v>
      </c>
      <c r="D76" s="49">
        <f>ROUND('Consol. Historical FS'!D78/'Consol. Historical FS'!D$73,3)</f>
        <v>0.41699999999999998</v>
      </c>
      <c r="E76" s="49">
        <f>ROUND('Consol. Historical FS'!E78/'Consol. Historical FS'!E$73,3)</f>
        <v>0.39300000000000002</v>
      </c>
      <c r="F76" s="49">
        <f>ROUND('Consol. Historical FS'!F78/'Consol. Historical FS'!F$73,3)</f>
        <v>0.442</v>
      </c>
      <c r="G76" s="49">
        <f>ROUND('Consol. Historical FS'!G78/'Consol. Historical FS'!G$73,3)</f>
        <v>0.45800000000000002</v>
      </c>
    </row>
    <row r="77" spans="2:7">
      <c r="B77" s="41" t="s">
        <v>74</v>
      </c>
      <c r="C77" s="51">
        <f>ROUND('Consol. Historical FS'!C79/'Consol. Historical FS'!C$73,3)</f>
        <v>0.40699999999999997</v>
      </c>
      <c r="D77" s="51">
        <f>ROUND('Consol. Historical FS'!D79/'Consol. Historical FS'!D$73,3)</f>
        <v>0.42099999999999999</v>
      </c>
      <c r="E77" s="51">
        <f>ROUND('Consol. Historical FS'!E79/'Consol. Historical FS'!E$73,3)</f>
        <v>0.39700000000000002</v>
      </c>
      <c r="F77" s="51">
        <f>ROUND('Consol. Historical FS'!F79/'Consol. Historical FS'!F$73,3)</f>
        <v>0.44500000000000001</v>
      </c>
      <c r="G77" s="51">
        <f>ROUND('Consol. Historical FS'!G79/'Consol. Historical FS'!G$73,3)</f>
        <v>0.46100000000000002</v>
      </c>
    </row>
    <row r="78" spans="2:7">
      <c r="B78" t="s">
        <v>75</v>
      </c>
      <c r="C78" s="56">
        <f>ROUND('Consol. Historical FS'!C80/'Consol. Historical FS'!C$73,3)</f>
        <v>1.9E-2</v>
      </c>
      <c r="D78" s="56">
        <f>ROUND('Consol. Historical FS'!D80/'Consol. Historical FS'!D$73,3)</f>
        <v>4.0000000000000001E-3</v>
      </c>
      <c r="E78" s="56">
        <f>ROUND('Consol. Historical FS'!E80/'Consol. Historical FS'!E$73,3)</f>
        <v>1.2E-2</v>
      </c>
      <c r="F78" s="56">
        <f>ROUND('Consol. Historical FS'!F80/'Consol. Historical FS'!F$73,3)</f>
        <v>1.2999999999999999E-2</v>
      </c>
      <c r="G78" s="56">
        <f>ROUND('Consol. Historical FS'!G80/'Consol. Historical FS'!G$73,3)</f>
        <v>1.9E-2</v>
      </c>
    </row>
    <row r="79" spans="2:7">
      <c r="B79" s="41" t="s">
        <v>76</v>
      </c>
      <c r="C79" s="51">
        <f>ROUND('Consol. Historical FS'!C81/'Consol. Historical FS'!C$73,3)</f>
        <v>0.42599999999999999</v>
      </c>
      <c r="D79" s="51">
        <f>ROUND('Consol. Historical FS'!D81/'Consol. Historical FS'!D$73,3)</f>
        <v>0.42499999999999999</v>
      </c>
      <c r="E79" s="51">
        <f>ROUND('Consol. Historical FS'!E81/'Consol. Historical FS'!E$73,3)</f>
        <v>0.40799999999999997</v>
      </c>
      <c r="F79" s="51">
        <f>ROUND('Consol. Historical FS'!F81/'Consol. Historical FS'!F$73,3)</f>
        <v>0.45900000000000002</v>
      </c>
      <c r="G79" s="51">
        <f>ROUND('Consol. Historical FS'!G81/'Consol. Historical FS'!G$73,3)</f>
        <v>0.48</v>
      </c>
    </row>
    <row r="80" spans="2:7">
      <c r="C80" s="56"/>
      <c r="D80" s="56"/>
      <c r="E80" s="56"/>
      <c r="F80" s="56"/>
      <c r="G80" s="56"/>
    </row>
    <row r="81" spans="2:7">
      <c r="B81" s="35" t="s">
        <v>77</v>
      </c>
      <c r="C81" s="49"/>
      <c r="D81" s="49"/>
      <c r="E81" s="49"/>
      <c r="F81" s="49"/>
      <c r="G81" s="49"/>
    </row>
    <row r="82" spans="2:7">
      <c r="B82" t="s">
        <v>78</v>
      </c>
      <c r="C82" s="49"/>
      <c r="D82" s="49"/>
      <c r="E82" s="49"/>
      <c r="F82" s="49"/>
      <c r="G82" s="49"/>
    </row>
    <row r="83" spans="2:7">
      <c r="B83" s="50" t="s">
        <v>79</v>
      </c>
      <c r="C83" s="49">
        <f>ROUND('Consol. Historical FS'!C85/'Consol. Historical FS'!C$73,3)</f>
        <v>0.437</v>
      </c>
      <c r="D83" s="49">
        <f>ROUND('Consol. Historical FS'!D85/'Consol. Historical FS'!D$73,3)</f>
        <v>0.39800000000000002</v>
      </c>
      <c r="E83" s="49">
        <f>ROUND('Consol. Historical FS'!E85/'Consol. Historical FS'!E$73,3)</f>
        <v>0.40500000000000003</v>
      </c>
      <c r="F83" s="49">
        <f>ROUND('Consol. Historical FS'!F85/'Consol. Historical FS'!F$73,3)</f>
        <v>0.317</v>
      </c>
      <c r="G83" s="49">
        <f>ROUND('Consol. Historical FS'!G85/'Consol. Historical FS'!G$73,3)</f>
        <v>0.26500000000000001</v>
      </c>
    </row>
    <row r="84" spans="2:7">
      <c r="B84" s="50" t="s">
        <v>80</v>
      </c>
      <c r="C84" s="49">
        <f>ROUND('Consol. Historical FS'!C86/'Consol. Historical FS'!C$73,3)</f>
        <v>8.0000000000000002E-3</v>
      </c>
      <c r="D84" s="49">
        <f>ROUND('Consol. Historical FS'!D86/'Consol. Historical FS'!D$73,3)</f>
        <v>0.02</v>
      </c>
      <c r="E84" s="49">
        <f>ROUND('Consol. Historical FS'!E86/'Consol. Historical FS'!E$73,3)</f>
        <v>2.3E-2</v>
      </c>
      <c r="F84" s="49">
        <f>ROUND('Consol. Historical FS'!F86/'Consol. Historical FS'!F$73,3)</f>
        <v>2.5000000000000001E-2</v>
      </c>
      <c r="G84" s="49">
        <f>ROUND('Consol. Historical FS'!G86/'Consol. Historical FS'!G$73,3)</f>
        <v>0.04</v>
      </c>
    </row>
    <row r="85" spans="2:7">
      <c r="B85" s="50" t="s">
        <v>81</v>
      </c>
      <c r="C85" s="49">
        <f>ROUND('Consol. Historical FS'!C87/'Consol. Historical FS'!C$73,3)</f>
        <v>3.0000000000000001E-3</v>
      </c>
      <c r="D85" s="49">
        <f>ROUND('Consol. Historical FS'!D87/'Consol. Historical FS'!D$73,3)</f>
        <v>2E-3</v>
      </c>
      <c r="E85" s="49">
        <f>ROUND('Consol. Historical FS'!E87/'Consol. Historical FS'!E$73,3)</f>
        <v>3.0000000000000001E-3</v>
      </c>
      <c r="F85" s="49">
        <f>ROUND('Consol. Historical FS'!F87/'Consol. Historical FS'!F$73,3)</f>
        <v>3.0000000000000001E-3</v>
      </c>
      <c r="G85" s="49">
        <f>ROUND('Consol. Historical FS'!G87/'Consol. Historical FS'!G$73,3)</f>
        <v>2E-3</v>
      </c>
    </row>
    <row r="86" spans="2:7">
      <c r="B86" s="50" t="s">
        <v>82</v>
      </c>
      <c r="C86" s="49">
        <f>ROUND('Consol. Historical FS'!C88/'Consol. Historical FS'!C$73,3)</f>
        <v>0</v>
      </c>
      <c r="D86" s="49">
        <f>ROUND('Consol. Historical FS'!D88/'Consol. Historical FS'!D$73,3)</f>
        <v>0</v>
      </c>
      <c r="E86" s="49">
        <f>ROUND('Consol. Historical FS'!E88/'Consol. Historical FS'!E$73,3)</f>
        <v>0</v>
      </c>
      <c r="F86" s="49">
        <f>ROUND('Consol. Historical FS'!F88/'Consol. Historical FS'!F$73,3)</f>
        <v>0</v>
      </c>
      <c r="G86" s="49">
        <f>ROUND('Consol. Historical FS'!G88/'Consol. Historical FS'!G$73,3)</f>
        <v>0</v>
      </c>
    </row>
    <row r="87" spans="2:7">
      <c r="B87" s="57" t="s">
        <v>83</v>
      </c>
      <c r="C87" s="49">
        <f>ROUND('Consol. Historical FS'!C89/'Consol. Historical FS'!C$73,3)</f>
        <v>1.4E-2</v>
      </c>
      <c r="D87" s="49">
        <f>ROUND('Consol. Historical FS'!D89/'Consol. Historical FS'!D$73,3)</f>
        <v>0.01</v>
      </c>
      <c r="E87" s="49">
        <f>ROUND('Consol. Historical FS'!E89/'Consol. Historical FS'!E$73,3)</f>
        <v>0.01</v>
      </c>
      <c r="F87" s="49">
        <f>ROUND('Consol. Historical FS'!F89/'Consol. Historical FS'!F$73,3)</f>
        <v>1.4E-2</v>
      </c>
      <c r="G87" s="49">
        <f>ROUND('Consol. Historical FS'!G89/'Consol. Historical FS'!G$73,3)</f>
        <v>1.6E-2</v>
      </c>
    </row>
    <row r="88" spans="2:7">
      <c r="B88" s="57" t="s">
        <v>84</v>
      </c>
      <c r="C88" s="49">
        <f>ROUND('Consol. Historical FS'!C90/'Consol. Historical FS'!C$73,3)</f>
        <v>0</v>
      </c>
      <c r="D88" s="49">
        <f>ROUND('Consol. Historical FS'!D90/'Consol. Historical FS'!D$73,3)</f>
        <v>0</v>
      </c>
      <c r="E88" s="49">
        <f>ROUND('Consol. Historical FS'!E90/'Consol. Historical FS'!E$73,3)</f>
        <v>0.01</v>
      </c>
      <c r="F88" s="49">
        <f>ROUND('Consol. Historical FS'!F90/'Consol. Historical FS'!F$73,3)</f>
        <v>8.9999999999999993E-3</v>
      </c>
      <c r="G88" s="49">
        <f>ROUND('Consol. Historical FS'!G90/'Consol. Historical FS'!G$73,3)</f>
        <v>8.0000000000000002E-3</v>
      </c>
    </row>
    <row r="89" spans="2:7">
      <c r="B89" s="57" t="s">
        <v>85</v>
      </c>
      <c r="C89" s="49">
        <f>ROUND('Consol. Historical FS'!C91/'Consol. Historical FS'!C$73,3)</f>
        <v>0</v>
      </c>
      <c r="D89" s="49">
        <f>ROUND('Consol. Historical FS'!D91/'Consol. Historical FS'!D$73,3)</f>
        <v>0</v>
      </c>
      <c r="E89" s="49">
        <f>ROUND('Consol. Historical FS'!E91/'Consol. Historical FS'!E$73,3)</f>
        <v>0</v>
      </c>
      <c r="F89" s="49">
        <f>ROUND('Consol. Historical FS'!F91/'Consol. Historical FS'!F$73,3)</f>
        <v>0</v>
      </c>
      <c r="G89" s="49">
        <f>ROUND('Consol. Historical FS'!G91/'Consol. Historical FS'!G$73,3)</f>
        <v>0</v>
      </c>
    </row>
    <row r="90" spans="2:7">
      <c r="B90" t="s">
        <v>86</v>
      </c>
      <c r="C90" s="49">
        <f>ROUND('Consol. Historical FS'!C92/'Consol. Historical FS'!C$73,3)</f>
        <v>1.6E-2</v>
      </c>
      <c r="D90" s="49">
        <f>ROUND('Consol. Historical FS'!D92/'Consol. Historical FS'!D$73,3)</f>
        <v>0.03</v>
      </c>
      <c r="E90" s="49">
        <f>ROUND('Consol. Historical FS'!E92/'Consol. Historical FS'!E$73,3)</f>
        <v>2.8000000000000001E-2</v>
      </c>
      <c r="F90" s="49">
        <f>ROUND('Consol. Historical FS'!F92/'Consol. Historical FS'!F$73,3)</f>
        <v>3.5000000000000003E-2</v>
      </c>
      <c r="G90" s="49">
        <f>ROUND('Consol. Historical FS'!G92/'Consol. Historical FS'!G$73,3)</f>
        <v>3.4000000000000002E-2</v>
      </c>
    </row>
    <row r="91" spans="2:7">
      <c r="B91" s="41" t="s">
        <v>87</v>
      </c>
      <c r="C91" s="51">
        <f>ROUND('Consol. Historical FS'!C93/'Consol. Historical FS'!C$73,3)</f>
        <v>0.47799999999999998</v>
      </c>
      <c r="D91" s="51">
        <f>ROUND('Consol. Historical FS'!D93/'Consol. Historical FS'!D$73,3)</f>
        <v>0.46100000000000002</v>
      </c>
      <c r="E91" s="51">
        <f>ROUND('Consol. Historical FS'!E93/'Consol. Historical FS'!E$73,3)</f>
        <v>0.47899999999999998</v>
      </c>
      <c r="F91" s="51">
        <f>ROUND('Consol. Historical FS'!F93/'Consol. Historical FS'!F$73,3)</f>
        <v>0.40300000000000002</v>
      </c>
      <c r="G91" s="51">
        <f>ROUND('Consol. Historical FS'!G93/'Consol. Historical FS'!G$73,3)</f>
        <v>0.36499999999999999</v>
      </c>
    </row>
    <row r="92" spans="2:7">
      <c r="B92" s="35"/>
      <c r="C92" s="56"/>
      <c r="D92" s="56"/>
      <c r="E92" s="56"/>
      <c r="F92" s="56"/>
      <c r="G92" s="56"/>
    </row>
    <row r="93" spans="2:7">
      <c r="B93" s="35" t="s">
        <v>88</v>
      </c>
      <c r="C93" s="49"/>
      <c r="D93" s="49"/>
      <c r="E93" s="49"/>
      <c r="F93" s="49"/>
      <c r="G93" s="49"/>
    </row>
    <row r="94" spans="2:7">
      <c r="B94" t="s">
        <v>89</v>
      </c>
      <c r="C94" s="49"/>
      <c r="D94" s="49"/>
      <c r="E94" s="49"/>
      <c r="F94" s="49"/>
      <c r="G94" s="49"/>
    </row>
    <row r="95" spans="2:7">
      <c r="B95" s="50" t="s">
        <v>79</v>
      </c>
      <c r="C95" s="49">
        <f>ROUND('Consol. Historical FS'!C97/'Consol. Historical FS'!C$73,3)</f>
        <v>5.0000000000000001E-3</v>
      </c>
      <c r="D95" s="49">
        <f>ROUND('Consol. Historical FS'!D97/'Consol. Historical FS'!D$73,3)</f>
        <v>5.8000000000000003E-2</v>
      </c>
      <c r="E95" s="49">
        <f>ROUND('Consol. Historical FS'!E97/'Consol. Historical FS'!E$73,3)</f>
        <v>2.9000000000000001E-2</v>
      </c>
      <c r="F95" s="49">
        <f>ROUND('Consol. Historical FS'!F97/'Consol. Historical FS'!F$73,3)</f>
        <v>7.1999999999999995E-2</v>
      </c>
      <c r="G95" s="49">
        <f>ROUND('Consol. Historical FS'!G97/'Consol. Historical FS'!G$73,3)</f>
        <v>7.3999999999999996E-2</v>
      </c>
    </row>
    <row r="96" spans="2:7">
      <c r="B96" s="50" t="s">
        <v>80</v>
      </c>
      <c r="C96" s="49">
        <f>ROUND('Consol. Historical FS'!C98/'Consol. Historical FS'!C$73,3)</f>
        <v>0</v>
      </c>
      <c r="D96" s="49">
        <f>ROUND('Consol. Historical FS'!D98/'Consol. Historical FS'!D$73,3)</f>
        <v>0</v>
      </c>
      <c r="E96" s="49">
        <f>ROUND('Consol. Historical FS'!E98/'Consol. Historical FS'!E$73,3)</f>
        <v>1E-3</v>
      </c>
      <c r="F96" s="49">
        <f>ROUND('Consol. Historical FS'!F98/'Consol. Historical FS'!F$73,3)</f>
        <v>1E-3</v>
      </c>
      <c r="G96" s="49">
        <f>ROUND('Consol. Historical FS'!G98/'Consol. Historical FS'!G$73,3)</f>
        <v>2E-3</v>
      </c>
    </row>
    <row r="97" spans="1:7">
      <c r="B97" s="50" t="s">
        <v>90</v>
      </c>
      <c r="C97" s="49">
        <f>ROUND('Consol. Historical FS'!C99/'Consol. Historical FS'!C$73,3)</f>
        <v>0</v>
      </c>
      <c r="D97" s="49">
        <f>ROUND('Consol. Historical FS'!D99/'Consol. Historical FS'!D$73,3)</f>
        <v>0</v>
      </c>
      <c r="E97" s="49">
        <f>ROUND('Consol. Historical FS'!E99/'Consol. Historical FS'!E$73,3)</f>
        <v>0</v>
      </c>
      <c r="F97" s="49">
        <f>ROUND('Consol. Historical FS'!F99/'Consol. Historical FS'!F$73,3)</f>
        <v>0</v>
      </c>
      <c r="G97" s="49">
        <f>ROUND('Consol. Historical FS'!G99/'Consol. Historical FS'!G$73,3)</f>
        <v>0</v>
      </c>
    </row>
    <row r="98" spans="1:7" ht="15.95">
      <c r="B98" s="58" t="s">
        <v>91</v>
      </c>
      <c r="C98" s="49">
        <f>ROUND('Consol. Historical FS'!C100/'Consol. Historical FS'!C$73,3)</f>
        <v>0</v>
      </c>
      <c r="D98" s="49">
        <f>ROUND('Consol. Historical FS'!D100/'Consol. Historical FS'!D$73,3)</f>
        <v>0</v>
      </c>
      <c r="E98" s="49">
        <f>ROUND('Consol. Historical FS'!E100/'Consol. Historical FS'!E$73,3)</f>
        <v>1E-3</v>
      </c>
      <c r="F98" s="49">
        <f>ROUND('Consol. Historical FS'!F100/'Consol. Historical FS'!F$73,3)</f>
        <v>1E-3</v>
      </c>
      <c r="G98" s="49">
        <f>ROUND('Consol. Historical FS'!G100/'Consol. Historical FS'!G$73,3)</f>
        <v>1E-3</v>
      </c>
    </row>
    <row r="99" spans="1:7" ht="32.1">
      <c r="B99" s="58" t="s">
        <v>92</v>
      </c>
      <c r="C99" s="49">
        <f>ROUND('Consol. Historical FS'!C101/'Consol. Historical FS'!C$73,3)</f>
        <v>1.2999999999999999E-2</v>
      </c>
      <c r="D99" s="49">
        <f>ROUND('Consol. Historical FS'!D101/'Consol. Historical FS'!D$73,3)</f>
        <v>1.0999999999999999E-2</v>
      </c>
      <c r="E99" s="49">
        <f>ROUND('Consol. Historical FS'!E101/'Consol. Historical FS'!E$73,3)</f>
        <v>1.4999999999999999E-2</v>
      </c>
      <c r="F99" s="49">
        <f>ROUND('Consol. Historical FS'!F101/'Consol. Historical FS'!F$73,3)</f>
        <v>1.4999999999999999E-2</v>
      </c>
      <c r="G99" s="49">
        <f>ROUND('Consol. Historical FS'!G101/'Consol. Historical FS'!G$73,3)</f>
        <v>1.9E-2</v>
      </c>
    </row>
    <row r="100" spans="1:7">
      <c r="B100" s="50" t="s">
        <v>93</v>
      </c>
      <c r="C100" s="49">
        <f>ROUND('Consol. Historical FS'!C102/'Consol. Historical FS'!C$73,3)</f>
        <v>4.2999999999999997E-2</v>
      </c>
      <c r="D100" s="49">
        <f>ROUND('Consol. Historical FS'!D102/'Consol. Historical FS'!D$73,3)</f>
        <v>2.3E-2</v>
      </c>
      <c r="E100" s="49">
        <f>ROUND('Consol. Historical FS'!E102/'Consol. Historical FS'!E$73,3)</f>
        <v>2.9000000000000001E-2</v>
      </c>
      <c r="F100" s="49">
        <f>ROUND('Consol. Historical FS'!F102/'Consol. Historical FS'!F$73,3)</f>
        <v>3.2000000000000001E-2</v>
      </c>
      <c r="G100" s="49">
        <f>ROUND('Consol. Historical FS'!G102/'Consol. Historical FS'!G$73,3)</f>
        <v>0.04</v>
      </c>
    </row>
    <row r="101" spans="1:7">
      <c r="B101" s="50" t="s">
        <v>94</v>
      </c>
      <c r="C101" s="49">
        <f>ROUND('Consol. Historical FS'!C103/'Consol. Historical FS'!C$73,3)</f>
        <v>0</v>
      </c>
      <c r="D101" s="49">
        <f>ROUND('Consol. Historical FS'!D103/'Consol. Historical FS'!D$73,3)</f>
        <v>0</v>
      </c>
      <c r="E101" s="49">
        <f>ROUND('Consol. Historical FS'!E103/'Consol. Historical FS'!E$73,3)</f>
        <v>0</v>
      </c>
      <c r="F101" s="49">
        <f>ROUND('Consol. Historical FS'!F103/'Consol. Historical FS'!F$73,3)</f>
        <v>0</v>
      </c>
      <c r="G101" s="49">
        <f>ROUND('Consol. Historical FS'!G103/'Consol. Historical FS'!G$73,3)</f>
        <v>0</v>
      </c>
    </row>
    <row r="102" spans="1:7">
      <c r="B102" s="57" t="s">
        <v>95</v>
      </c>
      <c r="C102" s="49">
        <f>ROUND('Consol. Historical FS'!C104/'Consol. Historical FS'!C$73,3)</f>
        <v>0.03</v>
      </c>
      <c r="D102" s="49">
        <f>ROUND('Consol. Historical FS'!D104/'Consol. Historical FS'!D$73,3)</f>
        <v>1.7000000000000001E-2</v>
      </c>
      <c r="E102" s="49">
        <f>ROUND('Consol. Historical FS'!E104/'Consol. Historical FS'!E$73,3)</f>
        <v>1.6E-2</v>
      </c>
      <c r="F102" s="49">
        <f>ROUND('Consol. Historical FS'!F104/'Consol. Historical FS'!F$73,3)</f>
        <v>1.4999999999999999E-2</v>
      </c>
      <c r="G102" s="49">
        <f>ROUND('Consol. Historical FS'!G104/'Consol. Historical FS'!G$73,3)</f>
        <v>1.7000000000000001E-2</v>
      </c>
    </row>
    <row r="103" spans="1:7">
      <c r="B103" s="57" t="s">
        <v>84</v>
      </c>
      <c r="C103" s="49">
        <f>ROUND('Consol. Historical FS'!C105/'Consol. Historical FS'!C$73,3)</f>
        <v>1E-3</v>
      </c>
      <c r="D103" s="49">
        <f>ROUND('Consol. Historical FS'!D105/'Consol. Historical FS'!D$73,3)</f>
        <v>1E-3</v>
      </c>
      <c r="E103" s="49">
        <f>ROUND('Consol. Historical FS'!E105/'Consol. Historical FS'!E$73,3)</f>
        <v>5.0000000000000001E-3</v>
      </c>
      <c r="F103" s="49">
        <f>ROUND('Consol. Historical FS'!F105/'Consol. Historical FS'!F$73,3)</f>
        <v>2E-3</v>
      </c>
      <c r="G103" s="49">
        <f>ROUND('Consol. Historical FS'!G105/'Consol. Historical FS'!G$73,3)</f>
        <v>2E-3</v>
      </c>
    </row>
    <row r="104" spans="1:7">
      <c r="B104" s="57" t="s">
        <v>85</v>
      </c>
      <c r="C104" s="49">
        <f>ROUND('Consol. Historical FS'!C106/'Consol. Historical FS'!C$73,3)</f>
        <v>0</v>
      </c>
      <c r="D104" s="49">
        <f>ROUND('Consol. Historical FS'!D106/'Consol. Historical FS'!D$73,3)</f>
        <v>0</v>
      </c>
      <c r="E104" s="49">
        <f>ROUND('Consol. Historical FS'!E106/'Consol. Historical FS'!E$73,3)</f>
        <v>0</v>
      </c>
      <c r="F104" s="49">
        <f>ROUND('Consol. Historical FS'!F106/'Consol. Historical FS'!F$73,3)</f>
        <v>0</v>
      </c>
      <c r="G104" s="49">
        <f>ROUND('Consol. Historical FS'!G106/'Consol. Historical FS'!G$73,3)</f>
        <v>0</v>
      </c>
    </row>
    <row r="105" spans="1:7">
      <c r="B105" t="s">
        <v>96</v>
      </c>
      <c r="C105" s="49">
        <f>ROUND('Consol. Historical FS'!C107/'Consol. Historical FS'!C$73,3)</f>
        <v>1E-3</v>
      </c>
      <c r="D105" s="49">
        <f>ROUND('Consol. Historical FS'!D107/'Consol. Historical FS'!D$73,3)</f>
        <v>1E-3</v>
      </c>
      <c r="E105" s="49">
        <f>ROUND('Consol. Historical FS'!E107/'Consol. Historical FS'!E$73,3)</f>
        <v>5.0000000000000001E-3</v>
      </c>
      <c r="F105" s="49">
        <f>ROUND('Consol. Historical FS'!F107/'Consol. Historical FS'!F$73,3)</f>
        <v>0</v>
      </c>
      <c r="G105" s="49">
        <f>ROUND('Consol. Historical FS'!G107/'Consol. Historical FS'!G$73,3)</f>
        <v>1E-3</v>
      </c>
    </row>
    <row r="106" spans="1:7">
      <c r="B106" s="41" t="s">
        <v>97</v>
      </c>
      <c r="C106" s="53">
        <f>ROUND('Consol. Historical FS'!C108/'Consol. Historical FS'!C$73,3)</f>
        <v>9.4E-2</v>
      </c>
      <c r="D106" s="53">
        <f>ROUND('Consol. Historical FS'!D108/'Consol. Historical FS'!D$73,3)</f>
        <v>0.111</v>
      </c>
      <c r="E106" s="53">
        <f>ROUND('Consol. Historical FS'!E108/'Consol. Historical FS'!E$73,3)</f>
        <v>9.9000000000000005E-2</v>
      </c>
      <c r="F106" s="53">
        <f>ROUND('Consol. Historical FS'!F108/'Consol. Historical FS'!F$73,3)</f>
        <v>0.13800000000000001</v>
      </c>
      <c r="G106" s="53">
        <f>ROUND('Consol. Historical FS'!G108/'Consol. Historical FS'!G$73,3)</f>
        <v>0.155</v>
      </c>
    </row>
    <row r="107" spans="1:7">
      <c r="B107" s="52" t="s">
        <v>68</v>
      </c>
      <c r="C107" s="54">
        <f>ROUND('Consol. Historical FS'!C109/'Consol. Historical FS'!C$73,3)</f>
        <v>2E-3</v>
      </c>
      <c r="D107" s="54">
        <f>ROUND('Consol. Historical FS'!D109/'Consol. Historical FS'!D$73,3)</f>
        <v>3.0000000000000001E-3</v>
      </c>
      <c r="E107" s="54">
        <f>ROUND('Consol. Historical FS'!E109/'Consol. Historical FS'!E$73,3)</f>
        <v>1.2999999999999999E-2</v>
      </c>
      <c r="F107" s="54">
        <f>ROUND('Consol. Historical FS'!F109/'Consol. Historical FS'!F$73,3)</f>
        <v>0</v>
      </c>
      <c r="G107" s="54">
        <f>ROUND('Consol. Historical FS'!G109/'Consol. Historical FS'!G$73,3)</f>
        <v>0</v>
      </c>
    </row>
    <row r="108" spans="1:7">
      <c r="B108" s="43" t="s">
        <v>98</v>
      </c>
      <c r="C108" s="55">
        <f>ROUND('Consol. Historical FS'!C110/'Consol. Historical FS'!C$73,3)</f>
        <v>1</v>
      </c>
      <c r="D108" s="55">
        <f>ROUND('Consol. Historical FS'!D110/'Consol. Historical FS'!D$73,3)</f>
        <v>1</v>
      </c>
      <c r="E108" s="55">
        <f>ROUND('Consol. Historical FS'!E110/'Consol. Historical FS'!E$73,3)</f>
        <v>1</v>
      </c>
      <c r="F108" s="55">
        <f>ROUND('Consol. Historical FS'!F110/'Consol. Historical FS'!F$73,3)</f>
        <v>1</v>
      </c>
      <c r="G108" s="55">
        <f>ROUND('Consol. Historical FS'!G110/'Consol. Historical FS'!G$73,3)</f>
        <v>1</v>
      </c>
    </row>
    <row r="110" spans="1:7">
      <c r="B110" s="59"/>
    </row>
    <row r="112" spans="1:7">
      <c r="A112" s="93" t="s">
        <v>8</v>
      </c>
      <c r="B112" s="93" t="s">
        <v>180</v>
      </c>
      <c r="C112" s="94"/>
      <c r="D112" s="94"/>
      <c r="E112" s="94"/>
      <c r="F112" s="94"/>
      <c r="G112" s="94"/>
    </row>
    <row r="113" spans="2:7" s="48" customFormat="1"/>
    <row r="114" spans="2:7">
      <c r="B114" s="95" t="s">
        <v>101</v>
      </c>
    </row>
    <row r="115" spans="2:7">
      <c r="B115" s="35" t="s">
        <v>102</v>
      </c>
      <c r="C115" s="60"/>
      <c r="D115" s="60"/>
      <c r="E115" s="60"/>
      <c r="F115" s="60"/>
    </row>
    <row r="116" spans="2:7">
      <c r="B116" t="s">
        <v>103</v>
      </c>
      <c r="C116" s="61">
        <f>ROUND('Consol. Historical FS'!C118/'Consol. Historical FS'!C$153,3)</f>
        <v>0.83299999999999996</v>
      </c>
      <c r="D116" s="61">
        <f>ROUND('Consol. Historical FS'!D118/'Consol. Historical FS'!D$153,3)</f>
        <v>0.54900000000000004</v>
      </c>
      <c r="E116" s="61">
        <f>ROUND('Consol. Historical FS'!E118/'Consol. Historical FS'!E$153,3)</f>
        <v>0.46</v>
      </c>
      <c r="F116" s="61">
        <f>ROUND('Consol. Historical FS'!F118/'Consol. Historical FS'!F$153,3)</f>
        <v>0.67200000000000004</v>
      </c>
      <c r="G116" s="61">
        <f>ROUND('Consol. Historical FS'!G118/'Consol. Historical FS'!G$153,3)</f>
        <v>0.75600000000000001</v>
      </c>
    </row>
    <row r="117" spans="2:7">
      <c r="B117" t="s">
        <v>104</v>
      </c>
      <c r="C117" s="61">
        <f>ROUND('Consol. Historical FS'!C119/'Consol. Historical FS'!C$153,3)</f>
        <v>0</v>
      </c>
      <c r="D117" s="61">
        <f>ROUND('Consol. Historical FS'!D119/'Consol. Historical FS'!D$153,3)</f>
        <v>0</v>
      </c>
      <c r="E117" s="61">
        <f>ROUND('Consol. Historical FS'!E119/'Consol. Historical FS'!E$153,3)</f>
        <v>0</v>
      </c>
      <c r="F117" s="61">
        <f>ROUND('Consol. Historical FS'!F119/'Consol. Historical FS'!F$153,3)</f>
        <v>0</v>
      </c>
      <c r="G117" s="61">
        <f>ROUND('Consol. Historical FS'!G119/'Consol. Historical FS'!G$153,3)</f>
        <v>0</v>
      </c>
    </row>
    <row r="118" spans="2:7">
      <c r="B118" t="s">
        <v>105</v>
      </c>
    </row>
    <row r="119" spans="2:7">
      <c r="B119" s="62" t="s">
        <v>19</v>
      </c>
      <c r="C119" s="61">
        <f>ROUND('Consol. Historical FS'!C121/'Consol. Historical FS'!C$153,3)</f>
        <v>0.27900000000000003</v>
      </c>
      <c r="D119" s="61">
        <f>ROUND('Consol. Historical FS'!D121/'Consol. Historical FS'!D$153,3)</f>
        <v>0.29799999999999999</v>
      </c>
      <c r="E119" s="61">
        <f>ROUND('Consol. Historical FS'!E121/'Consol. Historical FS'!E$153,3)</f>
        <v>0.28699999999999998</v>
      </c>
      <c r="F119" s="61">
        <f>ROUND('Consol. Historical FS'!F121/'Consol. Historical FS'!F$153,3)</f>
        <v>0.25900000000000001</v>
      </c>
      <c r="G119" s="61">
        <f>ROUND('Consol. Historical FS'!G121/'Consol. Historical FS'!G$153,3)</f>
        <v>0.254</v>
      </c>
    </row>
    <row r="120" spans="2:7">
      <c r="B120" s="62" t="s">
        <v>106</v>
      </c>
      <c r="C120" s="61">
        <f>ROUND('Consol. Historical FS'!C122/'Consol. Historical FS'!C$153,3)</f>
        <v>0</v>
      </c>
      <c r="D120" s="61">
        <f>ROUND('Consol. Historical FS'!D122/'Consol. Historical FS'!D$153,3)</f>
        <v>3.9E-2</v>
      </c>
      <c r="E120" s="61">
        <f>ROUND('Consol. Historical FS'!E122/'Consol. Historical FS'!E$153,3)</f>
        <v>0.107</v>
      </c>
      <c r="F120" s="61">
        <f>ROUND('Consol. Historical FS'!F122/'Consol. Historical FS'!F$153,3)</f>
        <v>2.5000000000000001E-2</v>
      </c>
      <c r="G120" s="61">
        <f>ROUND('Consol. Historical FS'!G122/'Consol. Historical FS'!G$153,3)</f>
        <v>1.4E-2</v>
      </c>
    </row>
    <row r="121" spans="2:7">
      <c r="B121" s="62" t="s">
        <v>107</v>
      </c>
      <c r="C121" s="61">
        <f>ROUND('Consol. Historical FS'!C123/'Consol. Historical FS'!C$153,3)</f>
        <v>0</v>
      </c>
      <c r="D121" s="61">
        <f>ROUND('Consol. Historical FS'!D123/'Consol. Historical FS'!D$153,3)</f>
        <v>0</v>
      </c>
      <c r="E121" s="61">
        <f>ROUND('Consol. Historical FS'!E123/'Consol. Historical FS'!E$153,3)</f>
        <v>0</v>
      </c>
      <c r="F121" s="61">
        <f>ROUND('Consol. Historical FS'!F123/'Consol. Historical FS'!F$153,3)</f>
        <v>0</v>
      </c>
      <c r="G121" s="61">
        <f>ROUND('Consol. Historical FS'!G123/'Consol. Historical FS'!G$153,3)</f>
        <v>0</v>
      </c>
    </row>
    <row r="122" spans="2:7">
      <c r="B122" s="62" t="s">
        <v>108</v>
      </c>
      <c r="C122" s="61">
        <f>ROUND('Consol. Historical FS'!C124/'Consol. Historical FS'!C$153,3)</f>
        <v>0</v>
      </c>
      <c r="D122" s="61">
        <f>ROUND('Consol. Historical FS'!D124/'Consol. Historical FS'!D$153,3)</f>
        <v>0</v>
      </c>
      <c r="E122" s="61">
        <f>ROUND('Consol. Historical FS'!E124/'Consol. Historical FS'!E$153,3)</f>
        <v>0</v>
      </c>
      <c r="F122" s="61">
        <f>ROUND('Consol. Historical FS'!F124/'Consol. Historical FS'!F$153,3)</f>
        <v>0</v>
      </c>
      <c r="G122" s="61">
        <f>ROUND('Consol. Historical FS'!G124/'Consol. Historical FS'!G$153,3)</f>
        <v>0</v>
      </c>
    </row>
    <row r="123" spans="2:7">
      <c r="B123" s="62" t="s">
        <v>109</v>
      </c>
      <c r="C123" s="61">
        <f>ROUND('Consol. Historical FS'!C125/'Consol. Historical FS'!C$153,3)</f>
        <v>-1.2E-2</v>
      </c>
      <c r="D123" s="61">
        <f>ROUND('Consol. Historical FS'!D125/'Consol. Historical FS'!D$153,3)</f>
        <v>0</v>
      </c>
      <c r="E123" s="61">
        <f>ROUND('Consol. Historical FS'!E125/'Consol. Historical FS'!E$153,3)</f>
        <v>-5.0000000000000001E-3</v>
      </c>
      <c r="F123" s="61">
        <f>ROUND('Consol. Historical FS'!F125/'Consol. Historical FS'!F$153,3)</f>
        <v>-1E-3</v>
      </c>
      <c r="G123" s="61">
        <f>ROUND('Consol. Historical FS'!G125/'Consol. Historical FS'!G$153,3)</f>
        <v>0</v>
      </c>
    </row>
    <row r="124" spans="2:7">
      <c r="B124" s="62" t="s">
        <v>181</v>
      </c>
      <c r="C124" s="61">
        <f>ROUND('Consol. Historical FS'!C126/'Consol. Historical FS'!C$153,3)</f>
        <v>-0.01</v>
      </c>
      <c r="D124" s="61">
        <f>ROUND('Consol. Historical FS'!D126/'Consol. Historical FS'!D$153,3)</f>
        <v>-8.0000000000000002E-3</v>
      </c>
      <c r="E124" s="61">
        <f>ROUND('Consol. Historical FS'!E126/'Consol. Historical FS'!E$153,3)</f>
        <v>-7.0000000000000001E-3</v>
      </c>
      <c r="F124" s="61">
        <f>ROUND('Consol. Historical FS'!F126/'Consol. Historical FS'!F$153,3)</f>
        <v>-6.0000000000000001E-3</v>
      </c>
      <c r="G124" s="61">
        <f>ROUND('Consol. Historical FS'!G126/'Consol. Historical FS'!G$153,3)</f>
        <v>-4.1000000000000002E-2</v>
      </c>
    </row>
    <row r="125" spans="2:7">
      <c r="B125" s="62" t="s">
        <v>111</v>
      </c>
      <c r="C125" s="61">
        <f>ROUND('Consol. Historical FS'!C127/'Consol. Historical FS'!C$153,3)</f>
        <v>0</v>
      </c>
      <c r="D125" s="61">
        <f>ROUND('Consol. Historical FS'!D127/'Consol. Historical FS'!D$153,3)</f>
        <v>0</v>
      </c>
      <c r="E125" s="61">
        <f>ROUND('Consol. Historical FS'!E127/'Consol. Historical FS'!E$153,3)</f>
        <v>0</v>
      </c>
      <c r="F125" s="61">
        <f>ROUND('Consol. Historical FS'!F127/'Consol. Historical FS'!F$153,3)</f>
        <v>0</v>
      </c>
      <c r="G125" s="61">
        <f>ROUND('Consol. Historical FS'!G127/'Consol. Historical FS'!G$153,3)</f>
        <v>0</v>
      </c>
    </row>
    <row r="126" spans="2:7">
      <c r="B126" s="62" t="s">
        <v>112</v>
      </c>
      <c r="C126" s="61">
        <f>ROUND('Consol. Historical FS'!C128/'Consol. Historical FS'!C$153,3)</f>
        <v>-9.7000000000000003E-2</v>
      </c>
      <c r="D126" s="61">
        <f>ROUND('Consol. Historical FS'!D128/'Consol. Historical FS'!D$153,3)</f>
        <v>8.7999999999999995E-2</v>
      </c>
      <c r="E126" s="61">
        <f>ROUND('Consol. Historical FS'!E128/'Consol. Historical FS'!E$153,3)</f>
        <v>0.21199999999999999</v>
      </c>
      <c r="F126" s="61">
        <f>ROUND('Consol. Historical FS'!F128/'Consol. Historical FS'!F$153,3)</f>
        <v>2.1999999999999999E-2</v>
      </c>
      <c r="G126" s="61">
        <f>ROUND('Consol. Historical FS'!G128/'Consol. Historical FS'!G$153,3)</f>
        <v>4.2000000000000003E-2</v>
      </c>
    </row>
    <row r="127" spans="2:7">
      <c r="B127" s="62" t="s">
        <v>113</v>
      </c>
      <c r="C127" s="61">
        <f>ROUND('Consol. Historical FS'!C129/'Consol. Historical FS'!C$153,3)</f>
        <v>-0.23300000000000001</v>
      </c>
      <c r="D127" s="61">
        <f>ROUND('Consol. Historical FS'!D129/'Consol. Historical FS'!D$153,3)</f>
        <v>-0.187</v>
      </c>
      <c r="E127" s="61">
        <f>ROUND('Consol. Historical FS'!E129/'Consol. Historical FS'!E$153,3)</f>
        <v>-0.105</v>
      </c>
      <c r="F127" s="61">
        <f>ROUND('Consol. Historical FS'!F129/'Consol. Historical FS'!F$153,3)</f>
        <v>-6.2E-2</v>
      </c>
      <c r="G127" s="61">
        <f>ROUND('Consol. Historical FS'!G129/'Consol. Historical FS'!G$153,3)</f>
        <v>-5.3999999999999999E-2</v>
      </c>
    </row>
    <row r="128" spans="2:7">
      <c r="B128" s="62" t="s">
        <v>21</v>
      </c>
      <c r="C128" s="61">
        <f>ROUND('Consol. Historical FS'!C130/'Consol. Historical FS'!C$153,3)</f>
        <v>0.29799999999999999</v>
      </c>
      <c r="D128" s="61">
        <f>ROUND('Consol. Historical FS'!D130/'Consol. Historical FS'!D$153,3)</f>
        <v>0.245</v>
      </c>
      <c r="E128" s="61">
        <f>ROUND('Consol. Historical FS'!E130/'Consol. Historical FS'!E$153,3)</f>
        <v>0.19700000000000001</v>
      </c>
      <c r="F128" s="61">
        <f>ROUND('Consol. Historical FS'!F130/'Consol. Historical FS'!F$153,3)</f>
        <v>0.185</v>
      </c>
      <c r="G128" s="61">
        <f>ROUND('Consol. Historical FS'!G130/'Consol. Historical FS'!G$153,3)</f>
        <v>0.161</v>
      </c>
    </row>
    <row r="129" spans="2:7">
      <c r="B129" s="62" t="s">
        <v>114</v>
      </c>
      <c r="C129" s="61">
        <f>ROUND('Consol. Historical FS'!C131/'Consol. Historical FS'!C$153,3)</f>
        <v>-1E-3</v>
      </c>
      <c r="D129" s="61">
        <f>ROUND('Consol. Historical FS'!D131/'Consol. Historical FS'!D$153,3)</f>
        <v>-2E-3</v>
      </c>
      <c r="E129" s="61">
        <f>ROUND('Consol. Historical FS'!E131/'Consol. Historical FS'!E$153,3)</f>
        <v>-2E-3</v>
      </c>
      <c r="F129" s="61">
        <f>ROUND('Consol. Historical FS'!F131/'Consol. Historical FS'!F$153,3)</f>
        <v>-7.0000000000000001E-3</v>
      </c>
      <c r="G129" s="61">
        <f>ROUND('Consol. Historical FS'!G131/'Consol. Historical FS'!G$153,3)</f>
        <v>-3.0000000000000001E-3</v>
      </c>
    </row>
    <row r="130" spans="2:7">
      <c r="B130" s="62" t="s">
        <v>115</v>
      </c>
      <c r="C130" s="61">
        <f>ROUND('Consol. Historical FS'!C132/'Consol. Historical FS'!C$153,3)</f>
        <v>0</v>
      </c>
      <c r="D130" s="61">
        <f>ROUND('Consol. Historical FS'!D132/'Consol. Historical FS'!D$153,3)</f>
        <v>0</v>
      </c>
      <c r="E130" s="61">
        <f>ROUND('Consol. Historical FS'!E132/'Consol. Historical FS'!E$153,3)</f>
        <v>0</v>
      </c>
      <c r="F130" s="61">
        <f>ROUND('Consol. Historical FS'!F132/'Consol. Historical FS'!F$153,3)</f>
        <v>0</v>
      </c>
      <c r="G130" s="61">
        <f>ROUND('Consol. Historical FS'!G132/'Consol. Historical FS'!G$153,3)</f>
        <v>0</v>
      </c>
    </row>
    <row r="131" spans="2:7">
      <c r="B131" s="62" t="s">
        <v>85</v>
      </c>
      <c r="C131" s="61">
        <f>ROUND('Consol. Historical FS'!C133/'Consol. Historical FS'!C$153,3)</f>
        <v>-2E-3</v>
      </c>
      <c r="D131" s="61">
        <f>ROUND('Consol. Historical FS'!D133/'Consol. Historical FS'!D$153,3)</f>
        <v>-1E-3</v>
      </c>
      <c r="E131" s="61">
        <f>ROUND('Consol. Historical FS'!E133/'Consol. Historical FS'!E$153,3)</f>
        <v>-1E-3</v>
      </c>
      <c r="F131" s="61">
        <f>ROUND('Consol. Historical FS'!F133/'Consol. Historical FS'!F$153,3)</f>
        <v>-1E-3</v>
      </c>
      <c r="G131" s="61">
        <f>ROUND('Consol. Historical FS'!G133/'Consol. Historical FS'!G$153,3)</f>
        <v>-1E-3</v>
      </c>
    </row>
    <row r="132" spans="2:7">
      <c r="B132" s="62" t="s">
        <v>116</v>
      </c>
      <c r="C132" s="61">
        <f>ROUND('Consol. Historical FS'!C134/'Consol. Historical FS'!C$153,3)</f>
        <v>0</v>
      </c>
      <c r="D132" s="61">
        <f>ROUND('Consol. Historical FS'!D134/'Consol. Historical FS'!D$153,3)</f>
        <v>0</v>
      </c>
      <c r="E132" s="61">
        <f>ROUND('Consol. Historical FS'!E134/'Consol. Historical FS'!E$153,3)</f>
        <v>0</v>
      </c>
      <c r="F132" s="61">
        <f>ROUND('Consol. Historical FS'!F134/'Consol. Historical FS'!F$153,3)</f>
        <v>0</v>
      </c>
      <c r="G132" s="61">
        <f>ROUND('Consol. Historical FS'!G134/'Consol. Historical FS'!G$153,3)</f>
        <v>0</v>
      </c>
    </row>
    <row r="133" spans="2:7">
      <c r="B133" s="62" t="s">
        <v>117</v>
      </c>
      <c r="C133" s="61">
        <f>ROUND('Consol. Historical FS'!C135/'Consol. Historical FS'!C$153,3)</f>
        <v>0</v>
      </c>
      <c r="D133" s="61">
        <f>ROUND('Consol. Historical FS'!D135/'Consol. Historical FS'!D$153,3)</f>
        <v>0</v>
      </c>
      <c r="E133" s="61">
        <f>ROUND('Consol. Historical FS'!E135/'Consol. Historical FS'!E$153,3)</f>
        <v>0</v>
      </c>
      <c r="F133" s="61">
        <f>ROUND('Consol. Historical FS'!F135/'Consol. Historical FS'!F$153,3)</f>
        <v>0</v>
      </c>
      <c r="G133" s="61">
        <f>ROUND('Consol. Historical FS'!G135/'Consol. Historical FS'!G$153,3)</f>
        <v>0</v>
      </c>
    </row>
    <row r="134" spans="2:7">
      <c r="B134" s="62" t="s">
        <v>118</v>
      </c>
      <c r="C134" s="61">
        <f>ROUND('Consol. Historical FS'!C136/'Consol. Historical FS'!C$153,3)</f>
        <v>3.0000000000000001E-3</v>
      </c>
      <c r="D134" s="61">
        <f>ROUND('Consol. Historical FS'!D136/'Consol. Historical FS'!D$153,3)</f>
        <v>0</v>
      </c>
      <c r="E134" s="61">
        <f>ROUND('Consol. Historical FS'!E136/'Consol. Historical FS'!E$153,3)</f>
        <v>0</v>
      </c>
      <c r="F134" s="61">
        <f>ROUND('Consol. Historical FS'!F136/'Consol. Historical FS'!F$153,3)</f>
        <v>0</v>
      </c>
      <c r="G134" s="61">
        <f>ROUND('Consol. Historical FS'!G136/'Consol. Historical FS'!G$153,3)</f>
        <v>0</v>
      </c>
    </row>
    <row r="135" spans="2:7">
      <c r="B135" s="62" t="s">
        <v>119</v>
      </c>
      <c r="C135" s="61">
        <f>ROUND('Consol. Historical FS'!C137/'Consol. Historical FS'!C$153,3)</f>
        <v>-1E-3</v>
      </c>
      <c r="D135" s="61">
        <f>ROUND('Consol. Historical FS'!D137/'Consol. Historical FS'!D$153,3)</f>
        <v>0</v>
      </c>
      <c r="E135" s="61">
        <f>ROUND('Consol. Historical FS'!E137/'Consol. Historical FS'!E$153,3)</f>
        <v>0</v>
      </c>
      <c r="F135" s="61">
        <f>ROUND('Consol. Historical FS'!F137/'Consol. Historical FS'!F$153,3)</f>
        <v>-1.4E-2</v>
      </c>
      <c r="G135" s="61">
        <f>ROUND('Consol. Historical FS'!G137/'Consol. Historical FS'!G$153,3)</f>
        <v>-1.4999999999999999E-2</v>
      </c>
    </row>
    <row r="136" spans="2:7">
      <c r="B136" s="62" t="s">
        <v>120</v>
      </c>
      <c r="C136" s="61">
        <f>ROUND('Consol. Historical FS'!C138/'Consol. Historical FS'!C$153,3)</f>
        <v>2E-3</v>
      </c>
      <c r="D136" s="61">
        <f>ROUND('Consol. Historical FS'!D138/'Consol. Historical FS'!D$153,3)</f>
        <v>-2E-3</v>
      </c>
      <c r="E136" s="61">
        <f>ROUND('Consol. Historical FS'!E138/'Consol. Historical FS'!E$153,3)</f>
        <v>-4.0000000000000001E-3</v>
      </c>
      <c r="F136" s="61">
        <f>ROUND('Consol. Historical FS'!F138/'Consol. Historical FS'!F$153,3)</f>
        <v>1.0999999999999999E-2</v>
      </c>
      <c r="G136" s="61">
        <f>ROUND('Consol. Historical FS'!G138/'Consol. Historical FS'!G$153,3)</f>
        <v>-8.0000000000000002E-3</v>
      </c>
    </row>
    <row r="137" spans="2:7">
      <c r="B137" s="62" t="s">
        <v>121</v>
      </c>
      <c r="C137" s="61">
        <f>ROUND('Consol. Historical FS'!C139/'Consol. Historical FS'!C$153,3)</f>
        <v>0</v>
      </c>
      <c r="D137" s="61">
        <f>ROUND('Consol. Historical FS'!D139/'Consol. Historical FS'!D$153,3)</f>
        <v>0</v>
      </c>
      <c r="E137" s="61">
        <f>ROUND('Consol. Historical FS'!E139/'Consol. Historical FS'!E$153,3)</f>
        <v>0</v>
      </c>
      <c r="F137" s="61">
        <f>ROUND('Consol. Historical FS'!F139/'Consol. Historical FS'!F$153,3)</f>
        <v>0</v>
      </c>
      <c r="G137" s="61">
        <f>ROUND('Consol. Historical FS'!G139/'Consol. Historical FS'!G$153,3)</f>
        <v>0</v>
      </c>
    </row>
    <row r="138" spans="2:7">
      <c r="B138" s="38" t="s">
        <v>122</v>
      </c>
      <c r="C138" s="63">
        <f>ROUND('Consol. Historical FS'!C140/'Consol. Historical FS'!C$153,3)</f>
        <v>1.0609999999999999</v>
      </c>
      <c r="D138" s="63">
        <f>ROUND('Consol. Historical FS'!D140/'Consol. Historical FS'!D$153,3)</f>
        <v>1.0189999999999999</v>
      </c>
      <c r="E138" s="63">
        <f>ROUND('Consol. Historical FS'!E140/'Consol. Historical FS'!E$153,3)</f>
        <v>1.139</v>
      </c>
      <c r="F138" s="63">
        <f>ROUND('Consol. Historical FS'!F140/'Consol. Historical FS'!F$153,3)</f>
        <v>1.0840000000000001</v>
      </c>
      <c r="G138" s="63">
        <f>ROUND('Consol. Historical FS'!G140/'Consol. Historical FS'!G$153,3)</f>
        <v>1.1060000000000001</v>
      </c>
    </row>
    <row r="139" spans="2:7">
      <c r="B139" s="35" t="s">
        <v>123</v>
      </c>
      <c r="C139" s="61">
        <f>ROUND('Consol. Historical FS'!C141/'Consol. Historical FS'!C$153,3)</f>
        <v>0</v>
      </c>
      <c r="D139" s="61">
        <f>ROUND('Consol. Historical FS'!D141/'Consol. Historical FS'!D$153,3)</f>
        <v>0</v>
      </c>
      <c r="E139" s="61">
        <f>ROUND('Consol. Historical FS'!E141/'Consol. Historical FS'!E$153,3)</f>
        <v>0</v>
      </c>
      <c r="F139" s="61">
        <f>ROUND('Consol. Historical FS'!F141/'Consol. Historical FS'!F$153,3)</f>
        <v>0</v>
      </c>
      <c r="G139" s="61">
        <f>ROUND('Consol. Historical FS'!G141/'Consol. Historical FS'!G$153,3)</f>
        <v>0</v>
      </c>
    </row>
    <row r="140" spans="2:7">
      <c r="B140" s="50" t="s">
        <v>124</v>
      </c>
      <c r="C140" s="61">
        <f>ROUND('Consol. Historical FS'!C142/'Consol. Historical FS'!C$153,3)</f>
        <v>1E-3</v>
      </c>
      <c r="D140" s="61">
        <f>ROUND('Consol. Historical FS'!D142/'Consol. Historical FS'!D$153,3)</f>
        <v>1E-3</v>
      </c>
      <c r="E140" s="61">
        <f>ROUND('Consol. Historical FS'!E142/'Consol. Historical FS'!E$153,3)</f>
        <v>-1.4E-2</v>
      </c>
      <c r="F140" s="61">
        <f>ROUND('Consol. Historical FS'!F142/'Consol. Historical FS'!F$153,3)</f>
        <v>3.0000000000000001E-3</v>
      </c>
      <c r="G140" s="61">
        <f>ROUND('Consol. Historical FS'!G142/'Consol. Historical FS'!G$153,3)</f>
        <v>1.4E-2</v>
      </c>
    </row>
    <row r="141" spans="2:7">
      <c r="B141" s="50" t="s">
        <v>125</v>
      </c>
      <c r="C141" s="61">
        <f>ROUND('Consol. Historical FS'!C143/'Consol. Historical FS'!C$153,3)</f>
        <v>-8.9999999999999993E-3</v>
      </c>
      <c r="D141" s="61">
        <f>ROUND('Consol. Historical FS'!D143/'Consol. Historical FS'!D$153,3)</f>
        <v>1.0999999999999999E-2</v>
      </c>
      <c r="E141" s="61">
        <f>ROUND('Consol. Historical FS'!E143/'Consol. Historical FS'!E$153,3)</f>
        <v>2.1000000000000001E-2</v>
      </c>
      <c r="F141" s="61">
        <f>ROUND('Consol. Historical FS'!F143/'Consol. Historical FS'!F$153,3)</f>
        <v>-4.1000000000000002E-2</v>
      </c>
      <c r="G141" s="61">
        <f>ROUND('Consol. Historical FS'!G143/'Consol. Historical FS'!G$153,3)</f>
        <v>5.0000000000000001E-3</v>
      </c>
    </row>
    <row r="142" spans="2:7">
      <c r="B142" s="50" t="s">
        <v>126</v>
      </c>
      <c r="C142" s="61">
        <f>ROUND('Consol. Historical FS'!C144/'Consol. Historical FS'!C$153,3)</f>
        <v>-1.0999999999999999E-2</v>
      </c>
      <c r="D142" s="61">
        <f>ROUND('Consol. Historical FS'!D144/'Consol. Historical FS'!D$153,3)</f>
        <v>-3.1E-2</v>
      </c>
      <c r="E142" s="61">
        <f>ROUND('Consol. Historical FS'!E144/'Consol. Historical FS'!E$153,3)</f>
        <v>3.7999999999999999E-2</v>
      </c>
      <c r="F142" s="61">
        <f>ROUND('Consol. Historical FS'!F144/'Consol. Historical FS'!F$153,3)</f>
        <v>0.04</v>
      </c>
      <c r="G142" s="61">
        <f>ROUND('Consol. Historical FS'!G144/'Consol. Historical FS'!G$153,3)</f>
        <v>3.6999999999999998E-2</v>
      </c>
    </row>
    <row r="143" spans="2:7">
      <c r="B143" s="50" t="s">
        <v>127</v>
      </c>
      <c r="C143" s="61">
        <f>ROUND('Consol. Historical FS'!C145/'Consol. Historical FS'!C$153,3)</f>
        <v>3.6999999999999998E-2</v>
      </c>
      <c r="D143" s="61">
        <f>ROUND('Consol. Historical FS'!D145/'Consol. Historical FS'!D$153,3)</f>
        <v>1.2E-2</v>
      </c>
      <c r="E143" s="61">
        <f>ROUND('Consol. Historical FS'!E145/'Consol. Historical FS'!E$153,3)</f>
        <v>-4.4999999999999998E-2</v>
      </c>
      <c r="F143" s="61">
        <f>ROUND('Consol. Historical FS'!F145/'Consol. Historical FS'!F$153,3)</f>
        <v>0.02</v>
      </c>
      <c r="G143" s="61">
        <f>ROUND('Consol. Historical FS'!G145/'Consol. Historical FS'!G$153,3)</f>
        <v>-0.05</v>
      </c>
    </row>
    <row r="144" spans="2:7">
      <c r="B144" s="50" t="s">
        <v>128</v>
      </c>
      <c r="C144" s="61">
        <f>ROUND('Consol. Historical FS'!C146/'Consol. Historical FS'!C$153,3)</f>
        <v>3.9E-2</v>
      </c>
      <c r="D144" s="61">
        <f>ROUND('Consol. Historical FS'!D146/'Consol. Historical FS'!D$153,3)</f>
        <v>2.1999999999999999E-2</v>
      </c>
      <c r="E144" s="61">
        <f>ROUND('Consol. Historical FS'!E146/'Consol. Historical FS'!E$153,3)</f>
        <v>-6.6000000000000003E-2</v>
      </c>
      <c r="F144" s="61">
        <f>ROUND('Consol. Historical FS'!F146/'Consol. Historical FS'!F$153,3)</f>
        <v>-2.1999999999999999E-2</v>
      </c>
      <c r="G144" s="61">
        <f>ROUND('Consol. Historical FS'!G146/'Consol. Historical FS'!G$153,3)</f>
        <v>-2.5999999999999999E-2</v>
      </c>
    </row>
    <row r="145" spans="2:7">
      <c r="B145" s="50" t="s">
        <v>129</v>
      </c>
      <c r="C145" s="61">
        <f>ROUND('Consol. Historical FS'!C147/'Consol. Historical FS'!C$153,3)</f>
        <v>-3.0000000000000001E-3</v>
      </c>
      <c r="D145" s="61">
        <f>ROUND('Consol. Historical FS'!D147/'Consol. Historical FS'!D$153,3)</f>
        <v>5.8000000000000003E-2</v>
      </c>
      <c r="E145" s="61">
        <f>ROUND('Consol. Historical FS'!E147/'Consol. Historical FS'!E$153,3)</f>
        <v>-3.0000000000000001E-3</v>
      </c>
      <c r="F145" s="61">
        <f>ROUND('Consol. Historical FS'!F147/'Consol. Historical FS'!F$153,3)</f>
        <v>2E-3</v>
      </c>
      <c r="G145" s="61">
        <f>ROUND('Consol. Historical FS'!G147/'Consol. Historical FS'!G$153,3)</f>
        <v>-2E-3</v>
      </c>
    </row>
    <row r="146" spans="2:7">
      <c r="B146" s="41" t="s">
        <v>130</v>
      </c>
      <c r="C146" s="64">
        <f>ROUND('Consol. Historical FS'!C148/'Consol. Historical FS'!C$153,3)</f>
        <v>5.3999999999999999E-2</v>
      </c>
      <c r="D146" s="64">
        <f>ROUND('Consol. Historical FS'!D148/'Consol. Historical FS'!D$153,3)</f>
        <v>7.2999999999999995E-2</v>
      </c>
      <c r="E146" s="64">
        <f>ROUND('Consol. Historical FS'!E148/'Consol. Historical FS'!E$153,3)</f>
        <v>-6.9000000000000006E-2</v>
      </c>
      <c r="F146" s="64">
        <f>ROUND('Consol. Historical FS'!F148/'Consol. Historical FS'!F$153,3)</f>
        <v>1E-3</v>
      </c>
      <c r="G146" s="64">
        <f>ROUND('Consol. Historical FS'!G148/'Consol. Historical FS'!G$153,3)</f>
        <v>-2.1000000000000001E-2</v>
      </c>
    </row>
    <row r="147" spans="2:7">
      <c r="B147" s="38" t="s">
        <v>131</v>
      </c>
      <c r="C147" s="65">
        <f>ROUND('Consol. Historical FS'!C149/'Consol. Historical FS'!C$153,3)</f>
        <v>1.1160000000000001</v>
      </c>
      <c r="D147" s="65">
        <f>ROUND('Consol. Historical FS'!D149/'Consol. Historical FS'!D$153,3)</f>
        <v>1.0920000000000001</v>
      </c>
      <c r="E147" s="65">
        <f>ROUND('Consol. Historical FS'!E149/'Consol. Historical FS'!E$153,3)</f>
        <v>1.07</v>
      </c>
      <c r="F147" s="65">
        <f>ROUND('Consol. Historical FS'!F149/'Consol. Historical FS'!F$153,3)</f>
        <v>1.085</v>
      </c>
      <c r="G147" s="65">
        <f>ROUND('Consol. Historical FS'!G149/'Consol. Historical FS'!G$153,3)</f>
        <v>1.085</v>
      </c>
    </row>
    <row r="148" spans="2:7">
      <c r="B148" t="s">
        <v>132</v>
      </c>
      <c r="C148" s="61">
        <f>ROUND('Consol. Historical FS'!C150/'Consol. Historical FS'!C$153,3)</f>
        <v>-0.11600000000000001</v>
      </c>
      <c r="D148" s="61">
        <f>ROUND('Consol. Historical FS'!D150/'Consol. Historical FS'!D$153,3)</f>
        <v>-9.1999999999999998E-2</v>
      </c>
      <c r="E148" s="61">
        <f>ROUND('Consol. Historical FS'!E150/'Consol. Historical FS'!E$153,3)</f>
        <v>-7.0000000000000007E-2</v>
      </c>
      <c r="F148" s="61">
        <f>ROUND('Consol. Historical FS'!F150/'Consol. Historical FS'!F$153,3)</f>
        <v>-8.5000000000000006E-2</v>
      </c>
      <c r="G148" s="61">
        <f>ROUND('Consol. Historical FS'!G150/'Consol. Historical FS'!G$153,3)</f>
        <v>-8.5000000000000006E-2</v>
      </c>
    </row>
    <row r="149" spans="2:7">
      <c r="B149" t="s">
        <v>133</v>
      </c>
      <c r="C149" s="61">
        <f>ROUND('Consol. Historical FS'!C151/'Consol. Historical FS'!C$153,3)</f>
        <v>0</v>
      </c>
      <c r="D149" s="61">
        <f>ROUND('Consol. Historical FS'!D151/'Consol. Historical FS'!D$153,3)</f>
        <v>0</v>
      </c>
      <c r="E149" s="61">
        <f>ROUND('Consol. Historical FS'!E151/'Consol. Historical FS'!E$153,3)</f>
        <v>0</v>
      </c>
      <c r="F149" s="61">
        <f>ROUND('Consol. Historical FS'!F151/'Consol. Historical FS'!F$153,3)</f>
        <v>0</v>
      </c>
      <c r="G149" s="61">
        <f>ROUND('Consol. Historical FS'!G151/'Consol. Historical FS'!G$153,3)</f>
        <v>0</v>
      </c>
    </row>
    <row r="150" spans="2:7">
      <c r="B150" t="s">
        <v>134</v>
      </c>
      <c r="C150" s="61">
        <f>ROUND('Consol. Historical FS'!C152/'Consol. Historical FS'!C$153,3)</f>
        <v>0</v>
      </c>
      <c r="D150" s="61">
        <f>ROUND('Consol. Historical FS'!D152/'Consol. Historical FS'!D$153,3)</f>
        <v>0</v>
      </c>
      <c r="E150" s="61">
        <f>ROUND('Consol. Historical FS'!E152/'Consol. Historical FS'!E$153,3)</f>
        <v>0</v>
      </c>
      <c r="F150" s="61">
        <f>ROUND('Consol. Historical FS'!F152/'Consol. Historical FS'!F$153,3)</f>
        <v>0</v>
      </c>
      <c r="G150" s="61">
        <f>ROUND('Consol. Historical FS'!G152/'Consol. Historical FS'!G$153,3)</f>
        <v>0</v>
      </c>
    </row>
    <row r="151" spans="2:7">
      <c r="B151" s="41" t="s">
        <v>135</v>
      </c>
      <c r="C151" s="63">
        <f>ROUND('Consol. Historical FS'!C153/'Consol. Historical FS'!C$153,3)</f>
        <v>1</v>
      </c>
      <c r="D151" s="63">
        <f>ROUND('Consol. Historical FS'!D153/'Consol. Historical FS'!D$153,3)</f>
        <v>1</v>
      </c>
      <c r="E151" s="63">
        <f>ROUND('Consol. Historical FS'!E153/'Consol. Historical FS'!E$153,3)</f>
        <v>1</v>
      </c>
      <c r="F151" s="63">
        <f>ROUND('Consol. Historical FS'!F153/'Consol. Historical FS'!F$153,3)</f>
        <v>1</v>
      </c>
      <c r="G151" s="63">
        <f>ROUND('Consol. Historical FS'!G153/'Consol. Historical FS'!G$153,3)</f>
        <v>1</v>
      </c>
    </row>
    <row r="152" spans="2:7">
      <c r="C152" s="52"/>
      <c r="D152" s="52"/>
      <c r="E152" s="52"/>
      <c r="F152" s="52"/>
    </row>
    <row r="153" spans="2:7">
      <c r="B153" s="95" t="s">
        <v>136</v>
      </c>
    </row>
    <row r="154" spans="2:7" ht="32.1">
      <c r="B154" s="66" t="s">
        <v>137</v>
      </c>
      <c r="C154" s="61">
        <f>ROUND('Consol. Historical FS'!C156/'Consol. Historical FS'!C$153,3)</f>
        <v>-0.33</v>
      </c>
      <c r="D154" s="61">
        <f>ROUND('Consol. Historical FS'!D156/'Consol. Historical FS'!D$153,3)</f>
        <v>-0.307</v>
      </c>
      <c r="E154" s="61">
        <f>ROUND('Consol. Historical FS'!E156/'Consol. Historical FS'!E$153,3)</f>
        <v>-0.71899999999999997</v>
      </c>
      <c r="F154" s="61">
        <f>ROUND('Consol. Historical FS'!F156/'Consol. Historical FS'!F$153,3)</f>
        <v>-0.35799999999999998</v>
      </c>
      <c r="G154" s="61">
        <f>ROUND('Consol. Historical FS'!G156/'Consol. Historical FS'!G$153,3)</f>
        <v>-0.48299999999999998</v>
      </c>
    </row>
    <row r="155" spans="2:7">
      <c r="B155" t="s">
        <v>138</v>
      </c>
      <c r="C155" s="61">
        <f>ROUND('Consol. Historical FS'!C157/'Consol. Historical FS'!C$153,3)</f>
        <v>1E-3</v>
      </c>
      <c r="D155" s="61">
        <f>ROUND('Consol. Historical FS'!D157/'Consol. Historical FS'!D$153,3)</f>
        <v>1.6E-2</v>
      </c>
      <c r="E155" s="61">
        <f>ROUND('Consol. Historical FS'!E157/'Consol. Historical FS'!E$153,3)</f>
        <v>1.7000000000000001E-2</v>
      </c>
      <c r="F155" s="61">
        <f>ROUND('Consol. Historical FS'!F157/'Consol. Historical FS'!F$153,3)</f>
        <v>2E-3</v>
      </c>
      <c r="G155" s="61">
        <f>ROUND('Consol. Historical FS'!G157/'Consol. Historical FS'!G$153,3)</f>
        <v>3.0000000000000001E-3</v>
      </c>
    </row>
    <row r="156" spans="2:7">
      <c r="B156" t="s">
        <v>139</v>
      </c>
      <c r="C156" s="61">
        <f>ROUND('Consol. Historical FS'!C158/'Consol. Historical FS'!C$153,3)</f>
        <v>0</v>
      </c>
      <c r="D156" s="61">
        <f>ROUND('Consol. Historical FS'!D158/'Consol. Historical FS'!D$153,3)</f>
        <v>0</v>
      </c>
      <c r="E156" s="61">
        <f>ROUND('Consol. Historical FS'!E158/'Consol. Historical FS'!E$153,3)</f>
        <v>0</v>
      </c>
      <c r="F156" s="61">
        <f>ROUND('Consol. Historical FS'!F158/'Consol. Historical FS'!F$153,3)</f>
        <v>0.22</v>
      </c>
      <c r="G156" s="61">
        <f>ROUND('Consol. Historical FS'!G158/'Consol. Historical FS'!G$153,3)</f>
        <v>-4.0000000000000001E-3</v>
      </c>
    </row>
    <row r="157" spans="2:7">
      <c r="B157" t="s">
        <v>140</v>
      </c>
      <c r="C157" s="61">
        <f>ROUND('Consol. Historical FS'!C159/'Consol. Historical FS'!C$153,3)</f>
        <v>0</v>
      </c>
      <c r="D157" s="61">
        <f>ROUND('Consol. Historical FS'!D159/'Consol. Historical FS'!D$153,3)</f>
        <v>2.7E-2</v>
      </c>
      <c r="E157" s="61">
        <f>ROUND('Consol. Historical FS'!E159/'Consol. Historical FS'!E$153,3)</f>
        <v>5.0000000000000001E-3</v>
      </c>
      <c r="F157" s="61">
        <f>ROUND('Consol. Historical FS'!F159/'Consol. Historical FS'!F$153,3)</f>
        <v>0</v>
      </c>
      <c r="G157" s="61">
        <f>ROUND('Consol. Historical FS'!G159/'Consol. Historical FS'!G$153,3)</f>
        <v>0</v>
      </c>
    </row>
    <row r="158" spans="2:7" ht="32.1">
      <c r="B158" s="66" t="s">
        <v>141</v>
      </c>
      <c r="C158" s="61">
        <f>ROUND('Consol. Historical FS'!C160/'Consol. Historical FS'!C$153,3)</f>
        <v>-1.7789999999999999</v>
      </c>
      <c r="D158" s="61">
        <f>ROUND('Consol. Historical FS'!D160/'Consol. Historical FS'!D$153,3)</f>
        <v>-5.1999999999999998E-2</v>
      </c>
      <c r="E158" s="61">
        <f>ROUND('Consol. Historical FS'!E160/'Consol. Historical FS'!E$153,3)</f>
        <v>-1.2090000000000001</v>
      </c>
      <c r="F158" s="61">
        <f>ROUND('Consol. Historical FS'!F160/'Consol. Historical FS'!F$153,3)</f>
        <v>-0.218</v>
      </c>
      <c r="G158" s="61">
        <f>ROUND('Consol. Historical FS'!G160/'Consol. Historical FS'!G$153,3)</f>
        <v>-0.29899999999999999</v>
      </c>
    </row>
    <row r="159" spans="2:7">
      <c r="B159" t="s">
        <v>142</v>
      </c>
      <c r="C159" s="61">
        <f>ROUND('Consol. Historical FS'!C161/'Consol. Historical FS'!C$153,3)</f>
        <v>0</v>
      </c>
      <c r="D159" s="61">
        <f>ROUND('Consol. Historical FS'!D161/'Consol. Historical FS'!D$153,3)</f>
        <v>0</v>
      </c>
      <c r="E159" s="61">
        <f>ROUND('Consol. Historical FS'!E161/'Consol. Historical FS'!E$153,3)</f>
        <v>0</v>
      </c>
      <c r="F159" s="61">
        <f>ROUND('Consol. Historical FS'!F161/'Consol. Historical FS'!F$153,3)</f>
        <v>0</v>
      </c>
      <c r="G159" s="61">
        <f>ROUND('Consol. Historical FS'!G161/'Consol. Historical FS'!G$153,3)</f>
        <v>0</v>
      </c>
    </row>
    <row r="160" spans="2:7">
      <c r="B160" t="s">
        <v>143</v>
      </c>
      <c r="C160" s="61">
        <f>ROUND('Consol. Historical FS'!C162/'Consol. Historical FS'!C$153,3)</f>
        <v>0</v>
      </c>
      <c r="D160" s="61">
        <f>ROUND('Consol. Historical FS'!D162/'Consol. Historical FS'!D$153,3)</f>
        <v>0</v>
      </c>
      <c r="E160" s="61">
        <f>ROUND('Consol. Historical FS'!E162/'Consol. Historical FS'!E$153,3)</f>
        <v>0</v>
      </c>
      <c r="F160" s="61">
        <f>ROUND('Consol. Historical FS'!F162/'Consol. Historical FS'!F$153,3)</f>
        <v>0</v>
      </c>
      <c r="G160" s="61">
        <f>ROUND('Consol. Historical FS'!G162/'Consol. Historical FS'!G$153,3)</f>
        <v>0</v>
      </c>
    </row>
    <row r="161" spans="2:7">
      <c r="B161" t="s">
        <v>144</v>
      </c>
      <c r="C161" s="61">
        <f>ROUND('Consol. Historical FS'!C163/'Consol. Historical FS'!C$153,3)</f>
        <v>0.13700000000000001</v>
      </c>
      <c r="D161" s="61">
        <f>ROUND('Consol. Historical FS'!D163/'Consol. Historical FS'!D$153,3)</f>
        <v>3.9E-2</v>
      </c>
      <c r="E161" s="61">
        <f>ROUND('Consol. Historical FS'!E163/'Consol. Historical FS'!E$153,3)</f>
        <v>0.11700000000000001</v>
      </c>
      <c r="F161" s="61">
        <f>ROUND('Consol. Historical FS'!F163/'Consol. Historical FS'!F$153,3)</f>
        <v>1.2999999999999999E-2</v>
      </c>
      <c r="G161" s="61">
        <f>ROUND('Consol. Historical FS'!G163/'Consol. Historical FS'!G$153,3)</f>
        <v>4.0000000000000001E-3</v>
      </c>
    </row>
    <row r="162" spans="2:7">
      <c r="B162" t="s">
        <v>145</v>
      </c>
      <c r="C162" s="61">
        <f>ROUND('Consol. Historical FS'!C164/'Consol. Historical FS'!C$153,3)</f>
        <v>-0.187</v>
      </c>
      <c r="D162" s="61">
        <f>ROUND('Consol. Historical FS'!D164/'Consol. Historical FS'!D$153,3)</f>
        <v>-0.40600000000000003</v>
      </c>
      <c r="E162" s="61">
        <f>ROUND('Consol. Historical FS'!E164/'Consol. Historical FS'!E$153,3)</f>
        <v>2.4E-2</v>
      </c>
      <c r="F162" s="61">
        <f>ROUND('Consol. Historical FS'!F164/'Consol. Historical FS'!F$153,3)</f>
        <v>-0.2</v>
      </c>
      <c r="G162" s="61">
        <f>ROUND('Consol. Historical FS'!G164/'Consol. Historical FS'!G$153,3)</f>
        <v>0.16</v>
      </c>
    </row>
    <row r="163" spans="2:7">
      <c r="B163" t="s">
        <v>146</v>
      </c>
      <c r="C163" s="61">
        <f>ROUND('Consol. Historical FS'!C165/'Consol. Historical FS'!C$153,3)</f>
        <v>0</v>
      </c>
      <c r="D163" s="61">
        <f>ROUND('Consol. Historical FS'!D165/'Consol. Historical FS'!D$153,3)</f>
        <v>0</v>
      </c>
      <c r="E163" s="61">
        <f>ROUND('Consol. Historical FS'!E165/'Consol. Historical FS'!E$153,3)</f>
        <v>0</v>
      </c>
      <c r="F163" s="61">
        <f>ROUND('Consol. Historical FS'!F165/'Consol. Historical FS'!F$153,3)</f>
        <v>0</v>
      </c>
      <c r="G163" s="61">
        <f>ROUND('Consol. Historical FS'!G165/'Consol. Historical FS'!G$153,3)</f>
        <v>0</v>
      </c>
    </row>
    <row r="164" spans="2:7">
      <c r="B164" t="s">
        <v>147</v>
      </c>
      <c r="C164" s="61">
        <f>ROUND('Consol. Historical FS'!C166/'Consol. Historical FS'!C$153,3)</f>
        <v>0.28499999999999998</v>
      </c>
      <c r="D164" s="61">
        <f>ROUND('Consol. Historical FS'!D166/'Consol. Historical FS'!D$153,3)</f>
        <v>0.17499999999999999</v>
      </c>
      <c r="E164" s="61">
        <f>ROUND('Consol. Historical FS'!E166/'Consol. Historical FS'!E$153,3)</f>
        <v>0.122</v>
      </c>
      <c r="F164" s="61">
        <f>ROUND('Consol. Historical FS'!F166/'Consol. Historical FS'!F$153,3)</f>
        <v>6.5000000000000002E-2</v>
      </c>
      <c r="G164" s="61">
        <f>ROUND('Consol. Historical FS'!G166/'Consol. Historical FS'!G$153,3)</f>
        <v>3.5000000000000003E-2</v>
      </c>
    </row>
    <row r="165" spans="2:7">
      <c r="B165" t="s">
        <v>148</v>
      </c>
      <c r="C165" s="61">
        <f>ROUND('Consol. Historical FS'!C167/'Consol. Historical FS'!C$153,3)</f>
        <v>1E-3</v>
      </c>
      <c r="D165" s="61">
        <f>ROUND('Consol. Historical FS'!D167/'Consol. Historical FS'!D$153,3)</f>
        <v>0</v>
      </c>
      <c r="E165" s="61">
        <f>ROUND('Consol. Historical FS'!E167/'Consol. Historical FS'!E$153,3)</f>
        <v>0</v>
      </c>
      <c r="F165" s="61">
        <f>ROUND('Consol. Historical FS'!F167/'Consol. Historical FS'!F$153,3)</f>
        <v>1.4E-2</v>
      </c>
      <c r="G165" s="61">
        <f>ROUND('Consol. Historical FS'!G167/'Consol. Historical FS'!G$153,3)</f>
        <v>1.4999999999999999E-2</v>
      </c>
    </row>
    <row r="166" spans="2:7">
      <c r="B166" t="s">
        <v>149</v>
      </c>
      <c r="C166" s="61">
        <f>ROUND('Consol. Historical FS'!C168/'Consol. Historical FS'!C$153,3)</f>
        <v>0</v>
      </c>
      <c r="D166" s="61">
        <f>ROUND('Consol. Historical FS'!D168/'Consol. Historical FS'!D$153,3)</f>
        <v>0</v>
      </c>
      <c r="E166" s="61">
        <f>ROUND('Consol. Historical FS'!E168/'Consol. Historical FS'!E$153,3)</f>
        <v>0</v>
      </c>
      <c r="F166" s="61">
        <f>ROUND('Consol. Historical FS'!F168/'Consol. Historical FS'!F$153,3)</f>
        <v>0</v>
      </c>
      <c r="G166" s="61">
        <f>ROUND('Consol. Historical FS'!G168/'Consol. Historical FS'!G$153,3)</f>
        <v>0</v>
      </c>
    </row>
    <row r="167" spans="2:7">
      <c r="B167" s="41" t="s">
        <v>150</v>
      </c>
      <c r="C167" s="63">
        <f>ROUND('Consol. Historical FS'!C169/'Consol. Historical FS'!C$153,3)</f>
        <v>-1.8720000000000001</v>
      </c>
      <c r="D167" s="63">
        <f>ROUND('Consol. Historical FS'!D169/'Consol. Historical FS'!D$153,3)</f>
        <v>-0.50700000000000001</v>
      </c>
      <c r="E167" s="63">
        <f>ROUND('Consol. Historical FS'!E169/'Consol. Historical FS'!E$153,3)</f>
        <v>-1.643</v>
      </c>
      <c r="F167" s="63">
        <f>ROUND('Consol. Historical FS'!F169/'Consol. Historical FS'!F$153,3)</f>
        <v>-0.46300000000000002</v>
      </c>
      <c r="G167" s="63">
        <f>ROUND('Consol. Historical FS'!G169/'Consol. Historical FS'!G$153,3)</f>
        <v>-0.56799999999999995</v>
      </c>
    </row>
    <row r="168" spans="2:7">
      <c r="C168" s="52"/>
      <c r="D168" s="52"/>
      <c r="E168" s="52"/>
      <c r="F168" s="52"/>
      <c r="G168" s="52"/>
    </row>
    <row r="169" spans="2:7">
      <c r="B169" s="95" t="s">
        <v>151</v>
      </c>
    </row>
    <row r="170" spans="2:7" ht="15.95">
      <c r="B170" s="66" t="s">
        <v>152</v>
      </c>
      <c r="C170" s="61">
        <f>ROUND('Consol. Historical FS'!C172/'Consol. Historical FS'!C$153,3)</f>
        <v>0</v>
      </c>
      <c r="D170" s="61">
        <f>ROUND('Consol. Historical FS'!D172/'Consol. Historical FS'!D$153,3)</f>
        <v>0</v>
      </c>
      <c r="E170" s="61">
        <f>ROUND('Consol. Historical FS'!E172/'Consol. Historical FS'!E$153,3)</f>
        <v>0</v>
      </c>
      <c r="F170" s="61">
        <f>ROUND('Consol. Historical FS'!F172/'Consol. Historical FS'!F$153,3)</f>
        <v>0</v>
      </c>
      <c r="G170" s="61">
        <f>ROUND('Consol. Historical FS'!G172/'Consol. Historical FS'!G$153,3)</f>
        <v>0</v>
      </c>
    </row>
    <row r="171" spans="2:7">
      <c r="B171" t="s">
        <v>153</v>
      </c>
      <c r="C171" s="61">
        <f>ROUND('Consol. Historical FS'!C173/'Consol. Historical FS'!C$153,3)</f>
        <v>0</v>
      </c>
      <c r="D171" s="61">
        <f>ROUND('Consol. Historical FS'!D173/'Consol. Historical FS'!D$153,3)</f>
        <v>7.6999999999999999E-2</v>
      </c>
      <c r="E171" s="61">
        <f>ROUND('Consol. Historical FS'!E173/'Consol. Historical FS'!E$153,3)</f>
        <v>0</v>
      </c>
      <c r="F171" s="61">
        <f>ROUND('Consol. Historical FS'!F173/'Consol. Historical FS'!F$153,3)</f>
        <v>1.6E-2</v>
      </c>
      <c r="G171" s="61">
        <f>ROUND('Consol. Historical FS'!G173/'Consol. Historical FS'!G$153,3)</f>
        <v>2.1999999999999999E-2</v>
      </c>
    </row>
    <row r="172" spans="2:7">
      <c r="B172" t="s">
        <v>154</v>
      </c>
      <c r="C172" s="61">
        <f>ROUND('Consol. Historical FS'!C174/'Consol. Historical FS'!C$153,3)</f>
        <v>1.839</v>
      </c>
      <c r="D172" s="61">
        <f>ROUND('Consol. Historical FS'!D174/'Consol. Historical FS'!D$153,3)</f>
        <v>0.69499999999999995</v>
      </c>
      <c r="E172" s="61">
        <f>ROUND('Consol. Historical FS'!E174/'Consol. Historical FS'!E$153,3)</f>
        <v>0.624</v>
      </c>
      <c r="F172" s="61">
        <f>ROUND('Consol. Historical FS'!F174/'Consol. Historical FS'!F$153,3)</f>
        <v>0.128</v>
      </c>
      <c r="G172" s="61">
        <f>ROUND('Consol. Historical FS'!G174/'Consol. Historical FS'!G$153,3)</f>
        <v>0.22700000000000001</v>
      </c>
    </row>
    <row r="173" spans="2:7">
      <c r="B173" t="s">
        <v>155</v>
      </c>
      <c r="C173" s="61">
        <f>ROUND('Consol. Historical FS'!C175/'Consol. Historical FS'!C$153,3)</f>
        <v>-0.96</v>
      </c>
      <c r="D173" s="61">
        <f>ROUND('Consol. Historical FS'!D175/'Consol. Historical FS'!D$153,3)</f>
        <v>-0.22</v>
      </c>
      <c r="E173" s="61">
        <f>ROUND('Consol. Historical FS'!E175/'Consol. Historical FS'!E$153,3)</f>
        <v>-0.14299999999999999</v>
      </c>
      <c r="F173" s="61">
        <f>ROUND('Consol. Historical FS'!F175/'Consol. Historical FS'!F$153,3)</f>
        <v>-0.372</v>
      </c>
      <c r="G173" s="61">
        <f>ROUND('Consol. Historical FS'!G175/'Consol. Historical FS'!G$153,3)</f>
        <v>-0.39</v>
      </c>
    </row>
    <row r="174" spans="2:7">
      <c r="B174" t="s">
        <v>182</v>
      </c>
      <c r="C174" s="61">
        <f>ROUND('Consol. Historical FS'!C176/'Consol. Historical FS'!C$153,3)</f>
        <v>-0.152</v>
      </c>
      <c r="D174" s="61">
        <f>ROUND('Consol. Historical FS'!D176/'Consol. Historical FS'!D$153,3)</f>
        <v>0.247</v>
      </c>
      <c r="E174" s="61">
        <f>ROUND('Consol. Historical FS'!E176/'Consol. Historical FS'!E$153,3)</f>
        <v>-0.45200000000000001</v>
      </c>
      <c r="F174" s="61">
        <f>ROUND('Consol. Historical FS'!F176/'Consol. Historical FS'!F$153,3)</f>
        <v>-3.2000000000000001E-2</v>
      </c>
      <c r="G174" s="61">
        <f>ROUND('Consol. Historical FS'!G176/'Consol. Historical FS'!G$153,3)</f>
        <v>-3.0000000000000001E-3</v>
      </c>
    </row>
    <row r="175" spans="2:7">
      <c r="B175" t="s">
        <v>157</v>
      </c>
      <c r="C175" s="61">
        <f>ROUND('Consol. Historical FS'!C177/'Consol. Historical FS'!C$153,3)</f>
        <v>0</v>
      </c>
      <c r="D175" s="61">
        <f>ROUND('Consol. Historical FS'!D177/'Consol. Historical FS'!D$153,3)</f>
        <v>0</v>
      </c>
      <c r="E175" s="61">
        <f>ROUND('Consol. Historical FS'!E177/'Consol. Historical FS'!E$153,3)</f>
        <v>0</v>
      </c>
      <c r="F175" s="61">
        <f>ROUND('Consol. Historical FS'!F177/'Consol. Historical FS'!F$153,3)</f>
        <v>0</v>
      </c>
      <c r="G175" s="61">
        <f>ROUND('Consol. Historical FS'!G177/'Consol. Historical FS'!G$153,3)</f>
        <v>0</v>
      </c>
    </row>
    <row r="176" spans="2:7">
      <c r="B176" t="s">
        <v>158</v>
      </c>
      <c r="C176" s="61">
        <f>ROUND('Consol. Historical FS'!C178/'Consol. Historical FS'!C$153,3)</f>
        <v>-2E-3</v>
      </c>
      <c r="D176" s="61">
        <f>ROUND('Consol. Historical FS'!D178/'Consol. Historical FS'!D$153,3)</f>
        <v>-6.0000000000000001E-3</v>
      </c>
      <c r="E176" s="61">
        <f>ROUND('Consol. Historical FS'!E178/'Consol. Historical FS'!E$153,3)</f>
        <v>-4.0000000000000001E-3</v>
      </c>
      <c r="F176" s="61">
        <f>ROUND('Consol. Historical FS'!F178/'Consol. Historical FS'!F$153,3)</f>
        <v>-3.0000000000000001E-3</v>
      </c>
      <c r="G176" s="61">
        <f>ROUND('Consol. Historical FS'!G178/'Consol. Historical FS'!G$153,3)</f>
        <v>-1.6E-2</v>
      </c>
    </row>
    <row r="177" spans="2:7">
      <c r="B177" t="s">
        <v>159</v>
      </c>
      <c r="C177" s="61">
        <f>ROUND('Consol. Historical FS'!C179/'Consol. Historical FS'!C$153,3)</f>
        <v>0</v>
      </c>
      <c r="D177" s="61">
        <f>ROUND('Consol. Historical FS'!D179/'Consol. Historical FS'!D$153,3)</f>
        <v>0</v>
      </c>
      <c r="E177" s="61">
        <f>ROUND('Consol. Historical FS'!E179/'Consol. Historical FS'!E$153,3)</f>
        <v>0</v>
      </c>
      <c r="F177" s="61">
        <f>ROUND('Consol. Historical FS'!F179/'Consol. Historical FS'!F$153,3)</f>
        <v>0</v>
      </c>
      <c r="G177" s="61">
        <f>ROUND('Consol. Historical FS'!G179/'Consol. Historical FS'!G$153,3)</f>
        <v>0</v>
      </c>
    </row>
    <row r="178" spans="2:7">
      <c r="B178" t="s">
        <v>160</v>
      </c>
      <c r="C178" s="61">
        <f>ROUND('Consol. Historical FS'!C180/'Consol. Historical FS'!C$153,3)</f>
        <v>0</v>
      </c>
      <c r="D178" s="61">
        <f>ROUND('Consol. Historical FS'!D180/'Consol. Historical FS'!D$153,3)</f>
        <v>0</v>
      </c>
      <c r="E178" s="61">
        <f>ROUND('Consol. Historical FS'!E180/'Consol. Historical FS'!E$153,3)</f>
        <v>0</v>
      </c>
      <c r="F178" s="61">
        <f>ROUND('Consol. Historical FS'!F180/'Consol. Historical FS'!F$153,3)</f>
        <v>0</v>
      </c>
      <c r="G178" s="61">
        <f>ROUND('Consol. Historical FS'!G180/'Consol. Historical FS'!G$153,3)</f>
        <v>0</v>
      </c>
    </row>
    <row r="179" spans="2:7">
      <c r="B179" t="s">
        <v>161</v>
      </c>
      <c r="C179" s="61">
        <f>ROUND('Consol. Historical FS'!C181/'Consol. Historical FS'!C$153,3)</f>
        <v>-0.25900000000000001</v>
      </c>
      <c r="D179" s="61">
        <f>ROUND('Consol. Historical FS'!D181/'Consol. Historical FS'!D$153,3)</f>
        <v>-0.24099999999999999</v>
      </c>
      <c r="E179" s="61">
        <f>ROUND('Consol. Historical FS'!E181/'Consol. Historical FS'!E$153,3)</f>
        <v>-0.23899999999999999</v>
      </c>
      <c r="F179" s="61">
        <f>ROUND('Consol. Historical FS'!F181/'Consol. Historical FS'!F$153,3)</f>
        <v>-0.185</v>
      </c>
      <c r="G179" s="61">
        <f>ROUND('Consol. Historical FS'!G181/'Consol. Historical FS'!G$153,3)</f>
        <v>-0.16400000000000001</v>
      </c>
    </row>
    <row r="180" spans="2:7">
      <c r="B180" t="s">
        <v>162</v>
      </c>
      <c r="C180" s="61">
        <f>ROUND('Consol. Historical FS'!C182/'Consol. Historical FS'!C$153,3)</f>
        <v>0</v>
      </c>
      <c r="D180" s="61">
        <f>ROUND('Consol. Historical FS'!D182/'Consol. Historical FS'!D$153,3)</f>
        <v>-9.9000000000000005E-2</v>
      </c>
      <c r="E180" s="61">
        <f>ROUND('Consol. Historical FS'!E182/'Consol. Historical FS'!E$153,3)</f>
        <v>-9.1999999999999998E-2</v>
      </c>
      <c r="F180" s="61">
        <f>ROUND('Consol. Historical FS'!F182/'Consol. Historical FS'!F$153,3)</f>
        <v>-7.1999999999999995E-2</v>
      </c>
      <c r="G180" s="61">
        <f>ROUND('Consol. Historical FS'!G182/'Consol. Historical FS'!G$153,3)</f>
        <v>-7.8E-2</v>
      </c>
    </row>
    <row r="181" spans="2:7">
      <c r="B181" t="s">
        <v>163</v>
      </c>
      <c r="C181" s="61">
        <f>ROUND('Consol. Historical FS'!C183/'Consol. Historical FS'!C$153,3)</f>
        <v>0</v>
      </c>
      <c r="D181" s="61">
        <f>ROUND('Consol. Historical FS'!D183/'Consol. Historical FS'!D$153,3)</f>
        <v>0</v>
      </c>
      <c r="E181" s="61">
        <f>ROUND('Consol. Historical FS'!E183/'Consol. Historical FS'!E$153,3)</f>
        <v>0</v>
      </c>
      <c r="F181" s="61">
        <f>ROUND('Consol. Historical FS'!F183/'Consol. Historical FS'!F$153,3)</f>
        <v>0</v>
      </c>
      <c r="G181" s="61">
        <f>ROUND('Consol. Historical FS'!G183/'Consol. Historical FS'!G$153,3)</f>
        <v>0</v>
      </c>
    </row>
    <row r="182" spans="2:7">
      <c r="B182" t="s">
        <v>164</v>
      </c>
      <c r="C182" s="61">
        <f>ROUND('Consol. Historical FS'!C184/'Consol. Historical FS'!C$153,3)</f>
        <v>0</v>
      </c>
      <c r="D182" s="61">
        <f>ROUND('Consol. Historical FS'!D184/'Consol. Historical FS'!D$153,3)</f>
        <v>0</v>
      </c>
      <c r="E182" s="61">
        <f>ROUND('Consol. Historical FS'!E184/'Consol. Historical FS'!E$153,3)</f>
        <v>0</v>
      </c>
      <c r="F182" s="61">
        <f>ROUND('Consol. Historical FS'!F184/'Consol. Historical FS'!F$153,3)</f>
        <v>0</v>
      </c>
      <c r="G182" s="61">
        <f>ROUND('Consol. Historical FS'!G184/'Consol. Historical FS'!G$153,3)</f>
        <v>0</v>
      </c>
    </row>
    <row r="183" spans="2:7">
      <c r="B183" t="s">
        <v>165</v>
      </c>
      <c r="C183" s="61">
        <f>ROUND('Consol. Historical FS'!C185/'Consol. Historical FS'!C$153,3)</f>
        <v>0</v>
      </c>
      <c r="D183" s="61">
        <f>ROUND('Consol. Historical FS'!D185/'Consol. Historical FS'!D$153,3)</f>
        <v>-0.51</v>
      </c>
      <c r="E183" s="61">
        <f>ROUND('Consol. Historical FS'!E185/'Consol. Historical FS'!E$153,3)</f>
        <v>7.6999999999999999E-2</v>
      </c>
      <c r="F183" s="61">
        <f>ROUND('Consol. Historical FS'!F185/'Consol. Historical FS'!F$153,3)</f>
        <v>0</v>
      </c>
      <c r="G183" s="61">
        <f>ROUND('Consol. Historical FS'!G185/'Consol. Historical FS'!G$153,3)</f>
        <v>0</v>
      </c>
    </row>
    <row r="184" spans="2:7">
      <c r="B184" t="s">
        <v>166</v>
      </c>
      <c r="C184" s="61">
        <f>ROUND('Consol. Historical FS'!C186/'Consol. Historical FS'!C$153,3)</f>
        <v>0</v>
      </c>
      <c r="D184" s="61">
        <f>ROUND('Consol. Historical FS'!D186/'Consol. Historical FS'!D$153,3)</f>
        <v>0</v>
      </c>
      <c r="E184" s="61">
        <f>ROUND('Consol. Historical FS'!E186/'Consol. Historical FS'!E$153,3)</f>
        <v>0</v>
      </c>
      <c r="F184" s="61">
        <f>ROUND('Consol. Historical FS'!F186/'Consol. Historical FS'!F$153,3)</f>
        <v>0</v>
      </c>
      <c r="G184" s="61">
        <f>ROUND('Consol. Historical FS'!G186/'Consol. Historical FS'!G$153,3)</f>
        <v>0</v>
      </c>
    </row>
    <row r="185" spans="2:7">
      <c r="B185" s="41" t="s">
        <v>167</v>
      </c>
      <c r="C185" s="63">
        <f>ROUND('Consol. Historical FS'!C187/'Consol. Historical FS'!C$153,3)</f>
        <v>0.46500000000000002</v>
      </c>
      <c r="D185" s="63">
        <f>ROUND('Consol. Historical FS'!D187/'Consol. Historical FS'!D$153,3)</f>
        <v>-5.6000000000000001E-2</v>
      </c>
      <c r="E185" s="63">
        <f>ROUND('Consol. Historical FS'!E187/'Consol. Historical FS'!E$153,3)</f>
        <v>-0.22900000000000001</v>
      </c>
      <c r="F185" s="63">
        <f>ROUND('Consol. Historical FS'!F187/'Consol. Historical FS'!F$153,3)</f>
        <v>-0.51900000000000002</v>
      </c>
      <c r="G185" s="63">
        <f>ROUND('Consol. Historical FS'!G187/'Consol. Historical FS'!G$153,3)</f>
        <v>-0.40100000000000002</v>
      </c>
    </row>
    <row r="186" spans="2:7">
      <c r="C186" s="67"/>
      <c r="D186" s="67"/>
      <c r="E186" s="67"/>
      <c r="F186" s="67"/>
      <c r="G186" s="67"/>
    </row>
    <row r="187" spans="2:7">
      <c r="B187" s="43" t="s">
        <v>168</v>
      </c>
      <c r="C187" s="68">
        <f>ROUND('Consol. Historical FS'!C189/'Consol. Historical FS'!C$153,3)</f>
        <v>-0.40699999999999997</v>
      </c>
      <c r="D187" s="68">
        <f>ROUND('Consol. Historical FS'!D189/'Consol. Historical FS'!D$153,3)</f>
        <v>0.437</v>
      </c>
      <c r="E187" s="68">
        <f>ROUND('Consol. Historical FS'!E189/'Consol. Historical FS'!E$153,3)</f>
        <v>-0.872</v>
      </c>
      <c r="F187" s="68">
        <f>ROUND('Consol. Historical FS'!F189/'Consol. Historical FS'!F$153,3)</f>
        <v>1.7999999999999999E-2</v>
      </c>
      <c r="G187" s="68">
        <f>ROUND('Consol. Historical FS'!G189/'Consol. Historical FS'!G$153,3)</f>
        <v>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1CDFA-776D-4F72-9C44-B3B733E91EDD}">
  <dimension ref="C1:K29"/>
  <sheetViews>
    <sheetView showGridLines="0" topLeftCell="A3" workbookViewId="0">
      <pane xSplit="3" ySplit="3" topLeftCell="D6" activePane="bottomRight" state="frozen"/>
      <selection pane="bottomRight" activeCell="N13" sqref="N13"/>
      <selection pane="bottomLeft"/>
      <selection pane="topRight"/>
    </sheetView>
  </sheetViews>
  <sheetFormatPr defaultRowHeight="15"/>
  <cols>
    <col min="1" max="1" width="2.7109375" style="1" customWidth="1"/>
    <col min="2" max="2" width="1" style="1" customWidth="1"/>
    <col min="3" max="3" width="28.7109375" style="1" customWidth="1"/>
    <col min="4" max="16384" width="9.140625" style="1"/>
  </cols>
  <sheetData>
    <row r="1" spans="3:11" ht="6" customHeight="1"/>
    <row r="2" spans="3:11" ht="6" customHeight="1"/>
    <row r="3" spans="3:11" ht="20.25" customHeight="1">
      <c r="C3" s="364" t="s">
        <v>183</v>
      </c>
    </row>
    <row r="4" spans="3:11" ht="8.25" customHeight="1"/>
    <row r="5" spans="3:11" ht="15.75">
      <c r="C5" s="365" t="s">
        <v>184</v>
      </c>
      <c r="D5" s="383" t="s">
        <v>185</v>
      </c>
      <c r="E5" s="383" t="s">
        <v>186</v>
      </c>
      <c r="F5" s="391" t="s">
        <v>187</v>
      </c>
      <c r="G5" s="383" t="s">
        <v>188</v>
      </c>
      <c r="H5" s="391" t="s">
        <v>189</v>
      </c>
      <c r="I5" s="383" t="s">
        <v>190</v>
      </c>
      <c r="J5" s="383" t="s">
        <v>191</v>
      </c>
      <c r="K5" s="366" t="s">
        <v>189</v>
      </c>
    </row>
    <row r="6" spans="3:11">
      <c r="C6" s="368" t="s">
        <v>10</v>
      </c>
      <c r="D6" s="384">
        <v>9167.4599999999991</v>
      </c>
      <c r="E6" s="384">
        <v>9126.14</v>
      </c>
      <c r="F6" s="375">
        <f>D6/E6-1</f>
        <v>4.5276535315039723E-3</v>
      </c>
      <c r="G6" s="384">
        <v>7067.02</v>
      </c>
      <c r="H6" s="375">
        <f>D6/G6-1</f>
        <v>0.29721721461096728</v>
      </c>
      <c r="I6" s="384">
        <f>D6+E6</f>
        <v>18293.599999999999</v>
      </c>
      <c r="J6" s="384">
        <v>14023.34</v>
      </c>
      <c r="K6" s="375">
        <f>I6/J6-1</f>
        <v>0.304510908242972</v>
      </c>
    </row>
    <row r="7" spans="3:11">
      <c r="C7" s="369" t="s">
        <v>14</v>
      </c>
      <c r="D7" s="385">
        <f>D6-2496.35</f>
        <v>6671.1099999999988</v>
      </c>
      <c r="E7" s="385">
        <f>E6-2526.29</f>
        <v>6599.8499999999995</v>
      </c>
      <c r="F7" s="376">
        <f t="shared" ref="F7:F15" si="0">D7/E7-1</f>
        <v>1.0797215088221623E-2</v>
      </c>
      <c r="G7" s="385">
        <f>G6-1762.82</f>
        <v>5304.2000000000007</v>
      </c>
      <c r="H7" s="376">
        <f t="shared" ref="H7:H15" si="1">D7/G7-1</f>
        <v>0.25770332943704943</v>
      </c>
      <c r="I7" s="385">
        <f>I6-5022.64</f>
        <v>13270.96</v>
      </c>
      <c r="J7" s="385">
        <f>J6-3629.39</f>
        <v>10393.950000000001</v>
      </c>
      <c r="K7" s="376">
        <f t="shared" ref="K7:K15" si="2">I7/J7-1</f>
        <v>0.2767965980209639</v>
      </c>
    </row>
    <row r="8" spans="3:11" s="25" customFormat="1">
      <c r="C8" s="370" t="s">
        <v>192</v>
      </c>
      <c r="D8" s="377">
        <f>D7/D$6</f>
        <v>0.72769447589626779</v>
      </c>
      <c r="E8" s="377">
        <f t="shared" ref="E8:G8" si="3">E7/E$6</f>
        <v>0.72318088479904974</v>
      </c>
      <c r="F8" s="377">
        <f>D8-E8</f>
        <v>4.5135910972180504E-3</v>
      </c>
      <c r="G8" s="377">
        <f t="shared" si="3"/>
        <v>0.75055681178205247</v>
      </c>
      <c r="H8" s="377">
        <f>D8-G8</f>
        <v>-2.2862335885784679E-2</v>
      </c>
      <c r="I8" s="377">
        <f t="shared" ref="I8" si="4">I7/I$6</f>
        <v>0.72544277780207289</v>
      </c>
      <c r="J8" s="377">
        <f t="shared" ref="J8" si="5">J7/J$6</f>
        <v>0.74118933150019894</v>
      </c>
      <c r="K8" s="377">
        <f>I8-J8</f>
        <v>-1.5746553698126053E-2</v>
      </c>
    </row>
    <row r="9" spans="3:11">
      <c r="C9" s="367" t="s">
        <v>18</v>
      </c>
      <c r="D9" s="385">
        <f>D7-585.51-535.33</f>
        <v>5550.2699999999986</v>
      </c>
      <c r="E9" s="385">
        <f>E7-569.21-535.31</f>
        <v>5495.33</v>
      </c>
      <c r="F9" s="376">
        <f>D9/E9-1</f>
        <v>9.9975797631806085E-3</v>
      </c>
      <c r="G9" s="385">
        <f>G7-506.06-429.27</f>
        <v>4368.8700000000008</v>
      </c>
      <c r="H9" s="376">
        <f t="shared" si="1"/>
        <v>0.27041317320039227</v>
      </c>
      <c r="I9" s="385">
        <f>I7-1154.72-1070.64</f>
        <v>11045.6</v>
      </c>
      <c r="J9" s="385">
        <f>J7-975.33-805.27</f>
        <v>8613.35</v>
      </c>
      <c r="K9" s="376">
        <f t="shared" si="2"/>
        <v>0.28238141954059692</v>
      </c>
    </row>
    <row r="10" spans="3:11" s="25" customFormat="1">
      <c r="C10" s="370" t="s">
        <v>193</v>
      </c>
      <c r="D10" s="377">
        <f t="shared" ref="D10:G10" si="6">D9/D$6</f>
        <v>0.60543160264675266</v>
      </c>
      <c r="E10" s="377">
        <f t="shared" si="6"/>
        <v>0.60215271735914644</v>
      </c>
      <c r="F10" s="377">
        <f>D10-E10</f>
        <v>3.2788852876062258E-3</v>
      </c>
      <c r="G10" s="377">
        <f t="shared" si="6"/>
        <v>0.61820541048419286</v>
      </c>
      <c r="H10" s="377">
        <f>D10-G10</f>
        <v>-1.2773807837440199E-2</v>
      </c>
      <c r="I10" s="377">
        <f t="shared" ref="I10" si="7">I9/I$6</f>
        <v>0.60379586303406663</v>
      </c>
      <c r="J10" s="377">
        <f t="shared" ref="J10" si="8">J9/J$6</f>
        <v>0.61421530106237177</v>
      </c>
      <c r="K10" s="377">
        <f>I10-J10</f>
        <v>-1.0419438028305139E-2</v>
      </c>
    </row>
    <row r="11" spans="3:11">
      <c r="C11" s="369" t="s">
        <v>194</v>
      </c>
      <c r="D11" s="385">
        <v>3120.2</v>
      </c>
      <c r="E11" s="385">
        <v>3310.6</v>
      </c>
      <c r="F11" s="376">
        <f t="shared" si="0"/>
        <v>-5.7512233432006288E-2</v>
      </c>
      <c r="G11" s="385">
        <v>2412.54</v>
      </c>
      <c r="H11" s="376">
        <f t="shared" si="1"/>
        <v>0.29332570651678314</v>
      </c>
      <c r="I11" s="385">
        <v>6430.8</v>
      </c>
      <c r="J11" s="385">
        <v>5519.77</v>
      </c>
      <c r="K11" s="376">
        <f t="shared" si="2"/>
        <v>0.16504854368932032</v>
      </c>
    </row>
    <row r="12" spans="3:11" s="25" customFormat="1">
      <c r="C12" s="370" t="s">
        <v>195</v>
      </c>
      <c r="D12" s="377">
        <f t="shared" ref="D12" si="9">D11/D$6</f>
        <v>0.34035599828087609</v>
      </c>
      <c r="E12" s="377">
        <f t="shared" ref="E12" si="10">E11/E$6</f>
        <v>0.36276015927873123</v>
      </c>
      <c r="F12" s="377">
        <f>D12-E12</f>
        <v>-2.2404160997855138E-2</v>
      </c>
      <c r="G12" s="377">
        <f t="shared" ref="G12" si="11">G11/G$6</f>
        <v>0.3413801008062804</v>
      </c>
      <c r="H12" s="377">
        <f>D12-G12</f>
        <v>-1.0241025254043024E-3</v>
      </c>
      <c r="I12" s="377">
        <f t="shared" ref="I12" si="12">I11/I$6</f>
        <v>0.35153277649013864</v>
      </c>
      <c r="J12" s="377">
        <f t="shared" ref="J12" si="13">J11/J$6</f>
        <v>0.39361307648534516</v>
      </c>
      <c r="K12" s="377">
        <f>I12-J12</f>
        <v>-4.2080299995206516E-2</v>
      </c>
    </row>
    <row r="13" spans="3:11">
      <c r="C13" s="371" t="s">
        <v>196</v>
      </c>
      <c r="D13" s="385">
        <v>3109.05</v>
      </c>
      <c r="E13" s="385">
        <v>3314.59</v>
      </c>
      <c r="F13" s="376">
        <f t="shared" si="0"/>
        <v>-6.201068608787208E-2</v>
      </c>
      <c r="G13" s="385">
        <v>2445</v>
      </c>
      <c r="H13" s="376">
        <f t="shared" si="1"/>
        <v>0.27159509202454002</v>
      </c>
      <c r="I13" s="385">
        <v>6423.64</v>
      </c>
      <c r="J13" s="385">
        <v>5557.83</v>
      </c>
      <c r="K13" s="376">
        <f t="shared" si="2"/>
        <v>0.15578202283984943</v>
      </c>
    </row>
    <row r="14" spans="3:11">
      <c r="C14" s="370" t="s">
        <v>197</v>
      </c>
      <c r="D14" s="378">
        <f>D11-D13</f>
        <v>11.149999999999636</v>
      </c>
      <c r="E14" s="378">
        <f t="shared" ref="E14:I14" si="14">E11-E13</f>
        <v>-3.9900000000002365</v>
      </c>
      <c r="F14" s="375">
        <f t="shared" si="0"/>
        <v>-3.7944862155385901</v>
      </c>
      <c r="G14" s="378">
        <f t="shared" si="14"/>
        <v>-32.460000000000036</v>
      </c>
      <c r="H14" s="375">
        <f t="shared" si="1"/>
        <v>-1.3434996919285158</v>
      </c>
      <c r="I14" s="378">
        <f t="shared" si="14"/>
        <v>7.1599999999998545</v>
      </c>
      <c r="J14" s="378">
        <f>J11-J13</f>
        <v>-38.059999999999491</v>
      </c>
      <c r="K14" s="375">
        <f t="shared" si="2"/>
        <v>-1.1881240147136087</v>
      </c>
    </row>
    <row r="15" spans="3:11">
      <c r="C15" s="369" t="s">
        <v>198</v>
      </c>
      <c r="D15" s="379">
        <v>14.39</v>
      </c>
      <c r="E15" s="379">
        <v>15.34</v>
      </c>
      <c r="F15" s="376">
        <f t="shared" si="0"/>
        <v>-6.1929595827900918E-2</v>
      </c>
      <c r="G15" s="379">
        <v>11.32</v>
      </c>
      <c r="H15" s="376">
        <f t="shared" si="1"/>
        <v>0.27120141342756177</v>
      </c>
      <c r="I15" s="379">
        <v>29.74</v>
      </c>
      <c r="J15" s="379">
        <v>25.73</v>
      </c>
      <c r="K15" s="376">
        <f t="shared" si="2"/>
        <v>0.15584920326467144</v>
      </c>
    </row>
    <row r="16" spans="3:11">
      <c r="C16" s="368"/>
      <c r="D16" s="378"/>
      <c r="E16" s="378"/>
      <c r="F16" s="378"/>
      <c r="G16" s="378"/>
      <c r="H16" s="378"/>
      <c r="I16" s="378"/>
      <c r="J16" s="378"/>
      <c r="K16" s="378"/>
    </row>
    <row r="17" spans="3:11">
      <c r="C17" s="372" t="s">
        <v>199</v>
      </c>
      <c r="D17" s="379"/>
      <c r="E17" s="379"/>
      <c r="F17" s="379"/>
      <c r="G17" s="379"/>
      <c r="H17" s="379"/>
      <c r="I17" s="379"/>
      <c r="J17" s="379"/>
      <c r="K17" s="379"/>
    </row>
    <row r="18" spans="3:11">
      <c r="C18" s="373" t="s">
        <v>10</v>
      </c>
      <c r="D18" s="378"/>
      <c r="E18" s="378"/>
      <c r="F18" s="378"/>
      <c r="G18" s="378"/>
      <c r="H18" s="378"/>
      <c r="I18" s="378"/>
      <c r="J18" s="378"/>
      <c r="K18" s="378"/>
    </row>
    <row r="19" spans="3:11">
      <c r="C19" s="369" t="s">
        <v>200</v>
      </c>
      <c r="D19" s="379">
        <v>8054.13</v>
      </c>
      <c r="E19" s="379">
        <v>7652.89</v>
      </c>
      <c r="F19" s="376">
        <f t="shared" ref="F19:F22" si="15">D19/E19-1</f>
        <v>5.2429866364209987E-2</v>
      </c>
      <c r="G19" s="379">
        <v>6421.03</v>
      </c>
      <c r="H19" s="376">
        <f t="shared" ref="H19:H22" si="16">D19/G19-1</f>
        <v>0.25433614233230495</v>
      </c>
      <c r="I19" s="379">
        <f>D19+E19</f>
        <v>15707.02</v>
      </c>
      <c r="J19" s="379">
        <v>13360.37</v>
      </c>
      <c r="K19" s="376">
        <f t="shared" ref="K19:K22" si="17">I19/J19-1</f>
        <v>0.17564259073663369</v>
      </c>
    </row>
    <row r="20" spans="3:11">
      <c r="C20" s="368" t="s">
        <v>201</v>
      </c>
      <c r="D20" s="378">
        <v>1196.3499999999999</v>
      </c>
      <c r="E20" s="378">
        <v>1515.71</v>
      </c>
      <c r="F20" s="375">
        <f t="shared" si="15"/>
        <v>-0.21069993600358916</v>
      </c>
      <c r="G20" s="378">
        <v>678.88</v>
      </c>
      <c r="H20" s="375">
        <f t="shared" si="16"/>
        <v>0.76224074946971476</v>
      </c>
      <c r="I20" s="378">
        <f t="shared" ref="I20:I22" si="18">D20+E20</f>
        <v>2712.06</v>
      </c>
      <c r="J20" s="378">
        <v>1334.55</v>
      </c>
      <c r="K20" s="375">
        <f t="shared" si="17"/>
        <v>1.0321906260537261</v>
      </c>
    </row>
    <row r="21" spans="3:11">
      <c r="C21" s="369" t="s">
        <v>202</v>
      </c>
      <c r="D21" s="379">
        <v>-83.02</v>
      </c>
      <c r="E21" s="379">
        <v>-42.46</v>
      </c>
      <c r="F21" s="376">
        <f t="shared" si="15"/>
        <v>0.95525200188412618</v>
      </c>
      <c r="G21" s="379">
        <v>-32.89</v>
      </c>
      <c r="H21" s="376">
        <f t="shared" si="16"/>
        <v>1.5241714806932198</v>
      </c>
      <c r="I21" s="379">
        <f t="shared" si="18"/>
        <v>-125.47999999999999</v>
      </c>
      <c r="J21" s="379">
        <v>-68.31</v>
      </c>
      <c r="K21" s="376">
        <f t="shared" si="17"/>
        <v>0.83691992387644532</v>
      </c>
    </row>
    <row r="22" spans="3:11" s="4" customFormat="1">
      <c r="C22" s="373" t="s">
        <v>12</v>
      </c>
      <c r="D22" s="386">
        <f>SUM(D19:D21)</f>
        <v>9167.4599999999991</v>
      </c>
      <c r="E22" s="386">
        <f>SUM(E19:E21)</f>
        <v>9126.1400000000012</v>
      </c>
      <c r="F22" s="380">
        <f t="shared" si="15"/>
        <v>4.5276535315037503E-3</v>
      </c>
      <c r="G22" s="386">
        <f>SUM(G19:G21)</f>
        <v>7067.0199999999995</v>
      </c>
      <c r="H22" s="380">
        <f t="shared" si="16"/>
        <v>0.29721721461096751</v>
      </c>
      <c r="I22" s="386">
        <f>D22+E22</f>
        <v>18293.599999999999</v>
      </c>
      <c r="J22" s="386">
        <f>SUM(J19:J21)</f>
        <v>14626.61</v>
      </c>
      <c r="K22" s="380">
        <f>I22/J22-1</f>
        <v>0.25070675980285229</v>
      </c>
    </row>
    <row r="23" spans="3:11">
      <c r="C23" s="369"/>
      <c r="D23" s="379"/>
      <c r="E23" s="379"/>
      <c r="F23" s="379"/>
      <c r="G23" s="379"/>
      <c r="H23" s="379"/>
      <c r="I23" s="379"/>
      <c r="J23" s="379"/>
      <c r="K23" s="379"/>
    </row>
    <row r="24" spans="3:11">
      <c r="C24" s="373" t="s">
        <v>193</v>
      </c>
      <c r="D24" s="378"/>
      <c r="E24" s="378"/>
      <c r="F24" s="378"/>
      <c r="G24" s="378"/>
      <c r="H24" s="378"/>
      <c r="I24" s="378"/>
      <c r="J24" s="378"/>
      <c r="K24" s="375"/>
    </row>
    <row r="25" spans="3:11">
      <c r="C25" s="369" t="s">
        <v>203</v>
      </c>
      <c r="D25" s="387">
        <v>0.73799999999999999</v>
      </c>
      <c r="E25" s="387">
        <v>0.746</v>
      </c>
      <c r="F25" s="376">
        <f>D25-E25</f>
        <v>-8.0000000000000071E-3</v>
      </c>
      <c r="G25" s="387">
        <v>0.72899999999999998</v>
      </c>
      <c r="H25" s="376">
        <f>D25-G25</f>
        <v>9.000000000000008E-3</v>
      </c>
      <c r="I25" s="387">
        <v>0.74199999999999999</v>
      </c>
      <c r="J25" s="387">
        <v>0.72699999999999998</v>
      </c>
      <c r="K25" s="376">
        <f>I25-J25</f>
        <v>1.5000000000000013E-2</v>
      </c>
    </row>
    <row r="26" spans="3:11">
      <c r="C26" s="368" t="s">
        <v>204</v>
      </c>
      <c r="D26" s="388">
        <v>0.24199999999999999</v>
      </c>
      <c r="E26" s="388">
        <v>0.21099999999999999</v>
      </c>
      <c r="F26" s="375">
        <f t="shared" ref="F26:F29" si="19">D26-E26</f>
        <v>3.1E-2</v>
      </c>
      <c r="G26" s="388">
        <v>0.14499999999999999</v>
      </c>
      <c r="H26" s="375">
        <f t="shared" ref="H26:H29" si="20">D26-G26</f>
        <v>9.7000000000000003E-2</v>
      </c>
      <c r="I26" s="388">
        <v>0.22700000000000001</v>
      </c>
      <c r="J26" s="388">
        <v>0.13600000000000001</v>
      </c>
      <c r="K26" s="375">
        <f t="shared" ref="K26:K29" si="21">I26-J26</f>
        <v>9.0999999999999998E-2</v>
      </c>
    </row>
    <row r="27" spans="3:11">
      <c r="C27" s="369" t="s">
        <v>205</v>
      </c>
      <c r="D27" s="387">
        <v>0.20899999999999999</v>
      </c>
      <c r="E27" s="387">
        <v>0.18099999999999999</v>
      </c>
      <c r="F27" s="376">
        <f t="shared" si="19"/>
        <v>2.7999999999999997E-2</v>
      </c>
      <c r="G27" s="387">
        <v>0.26500000000000001</v>
      </c>
      <c r="H27" s="376">
        <f t="shared" si="20"/>
        <v>-5.6000000000000022E-2</v>
      </c>
      <c r="I27" s="387">
        <v>0.19400000000000001</v>
      </c>
      <c r="J27" s="387">
        <v>0.25900000000000001</v>
      </c>
      <c r="K27" s="376">
        <f t="shared" si="21"/>
        <v>-6.5000000000000002E-2</v>
      </c>
    </row>
    <row r="28" spans="3:11">
      <c r="C28" s="368" t="s">
        <v>206</v>
      </c>
      <c r="D28" s="388">
        <v>0.52700000000000002</v>
      </c>
      <c r="E28" s="389">
        <v>0.55000000000000004</v>
      </c>
      <c r="F28" s="375">
        <f t="shared" si="19"/>
        <v>-2.300000000000002E-2</v>
      </c>
      <c r="G28" s="388">
        <v>0.46300000000000002</v>
      </c>
      <c r="H28" s="375">
        <f t="shared" si="20"/>
        <v>6.4000000000000001E-2</v>
      </c>
      <c r="I28" s="388">
        <v>0.53700000000000003</v>
      </c>
      <c r="J28" s="388">
        <v>0.43099999999999999</v>
      </c>
      <c r="K28" s="375">
        <f t="shared" si="21"/>
        <v>0.10600000000000004</v>
      </c>
    </row>
    <row r="29" spans="3:11">
      <c r="C29" s="374" t="s">
        <v>207</v>
      </c>
      <c r="D29" s="392">
        <v>1</v>
      </c>
      <c r="E29" s="390">
        <v>0.59299999999999997</v>
      </c>
      <c r="F29" s="381">
        <f t="shared" si="19"/>
        <v>0.40700000000000003</v>
      </c>
      <c r="G29" s="392">
        <v>1</v>
      </c>
      <c r="H29" s="381">
        <f t="shared" si="20"/>
        <v>0</v>
      </c>
      <c r="I29" s="390">
        <v>0.65500000000000003</v>
      </c>
      <c r="J29" s="392">
        <v>1</v>
      </c>
      <c r="K29" s="381">
        <f t="shared" si="21"/>
        <v>-0.34499999999999997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E1DAC-F7C2-4503-BFEB-008E454B1A58}">
  <sheetPr>
    <tabColor rgb="FF1F4E78"/>
  </sheetPr>
  <dimension ref="A13"/>
  <sheetViews>
    <sheetView showGridLines="0" workbookViewId="0">
      <selection activeCell="H9" sqref="H9"/>
    </sheetView>
  </sheetViews>
  <sheetFormatPr defaultColWidth="8.85546875" defaultRowHeight="15"/>
  <sheetData>
    <row r="13" spans="1:1" ht="39">
      <c r="A13" s="89" t="s">
        <v>208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40552-173C-425B-BC30-569E288E46C0}">
  <sheetPr>
    <pageSetUpPr autoPageBreaks="0"/>
  </sheetPr>
  <dimension ref="A1:XEW204"/>
  <sheetViews>
    <sheetView showGridLines="0" zoomScale="98" zoomScaleNormal="110" workbookViewId="0">
      <pane ySplit="3" topLeftCell="A56" activePane="bottomLeft" state="frozen"/>
      <selection pane="bottomLeft" activeCell="C74" sqref="C74"/>
      <selection activeCell="C21" sqref="C21"/>
    </sheetView>
  </sheetViews>
  <sheetFormatPr defaultColWidth="8.85546875" defaultRowHeight="15"/>
  <cols>
    <col min="1" max="1" width="1.85546875" style="1" customWidth="1"/>
    <col min="2" max="2" width="89.28515625" style="1" bestFit="1" customWidth="1"/>
    <col min="3" max="3" width="8.85546875" style="1"/>
    <col min="4" max="4" width="8.85546875" style="1" customWidth="1"/>
    <col min="5" max="6" width="8.85546875" style="1"/>
    <col min="7" max="7" width="8.85546875" style="1" customWidth="1"/>
    <col min="8" max="8" width="8.85546875" style="1"/>
    <col min="9" max="9" width="8.85546875" style="1" customWidth="1"/>
    <col min="10" max="16384" width="8.85546875" style="1"/>
  </cols>
  <sheetData>
    <row r="1" spans="1:20">
      <c r="I1" s="5" t="str">
        <f>[2]Scenarios!L1</f>
        <v>Currently Running: Base Case Scenario</v>
      </c>
    </row>
    <row r="2" spans="1:20" ht="18.75">
      <c r="B2" s="78" t="s">
        <v>209</v>
      </c>
      <c r="C2" s="78"/>
      <c r="D2" s="78"/>
      <c r="E2" s="78"/>
      <c r="F2" s="78"/>
      <c r="G2" s="78"/>
      <c r="H2" s="78"/>
      <c r="I2" s="78"/>
    </row>
    <row r="3" spans="1:20">
      <c r="B3" s="79" t="s">
        <v>2</v>
      </c>
      <c r="C3" s="80" t="str">
        <f>'Consol. Historical FS'!C3</f>
        <v>FY21A</v>
      </c>
      <c r="D3" s="80" t="str">
        <f>'Consol. Historical FS'!D3</f>
        <v>FY22A</v>
      </c>
      <c r="E3" s="80" t="str">
        <f>'Consol. Historical FS'!E3</f>
        <v>FY23A</v>
      </c>
      <c r="F3" s="80" t="str">
        <f>'Consol. Historical FS'!F3</f>
        <v>FY24A</v>
      </c>
      <c r="G3" s="80" t="str">
        <f>'Consol. Historical FS'!G3</f>
        <v>FY25A</v>
      </c>
      <c r="H3" s="80" t="s">
        <v>210</v>
      </c>
      <c r="I3" s="80" t="s">
        <v>211</v>
      </c>
    </row>
    <row r="4" spans="1:20">
      <c r="B4" s="2"/>
      <c r="C4" s="3"/>
      <c r="D4" s="3"/>
      <c r="E4" s="3"/>
      <c r="F4" s="3"/>
    </row>
    <row r="5" spans="1:20">
      <c r="A5" s="81" t="s">
        <v>8</v>
      </c>
      <c r="B5" s="81" t="s">
        <v>9</v>
      </c>
      <c r="C5" s="82"/>
      <c r="D5" s="82"/>
      <c r="E5" s="82"/>
      <c r="F5" s="82"/>
      <c r="G5" s="82"/>
      <c r="H5" s="82"/>
      <c r="I5" s="82"/>
    </row>
    <row r="6" spans="1:20">
      <c r="A6" s="4"/>
      <c r="B6" s="4"/>
      <c r="C6" s="5"/>
      <c r="D6" s="5"/>
      <c r="E6" s="5"/>
      <c r="F6" s="5"/>
      <c r="I6" s="5"/>
    </row>
    <row r="7" spans="1:20">
      <c r="B7" s="1" t="s">
        <v>10</v>
      </c>
      <c r="C7" s="19">
        <f>'Consol. Historical FS'!C7</f>
        <v>12549.6</v>
      </c>
      <c r="D7" s="19">
        <f>'Consol. Historical FS'!D7</f>
        <v>17118.79</v>
      </c>
      <c r="E7" s="19">
        <f>'Consol. Historical FS'!E7</f>
        <v>20851.91</v>
      </c>
      <c r="F7" s="19">
        <f>'Consol. Historical FS'!F7</f>
        <v>26710.560000000001</v>
      </c>
      <c r="G7" s="19">
        <f>'Consol. Historical FS'!G7</f>
        <v>30475.33</v>
      </c>
      <c r="I7" s="19"/>
    </row>
    <row r="8" spans="1:20">
      <c r="B8" s="1" t="s">
        <v>11</v>
      </c>
      <c r="C8" s="19">
        <f>'Consol. Historical FS'!C8</f>
        <v>0</v>
      </c>
      <c r="D8" s="19">
        <f>'Consol. Historical FS'!D8</f>
        <v>0</v>
      </c>
      <c r="E8" s="19">
        <f>'Consol. Historical FS'!E8</f>
        <v>0</v>
      </c>
      <c r="F8" s="19">
        <f>'Consol. Historical FS'!F8</f>
        <v>0</v>
      </c>
      <c r="G8" s="19">
        <f>'Consol. Historical FS'!G8</f>
        <v>0</v>
      </c>
      <c r="I8" s="19"/>
    </row>
    <row r="9" spans="1:20">
      <c r="B9" s="7" t="s">
        <v>12</v>
      </c>
      <c r="C9" s="8">
        <f>ROUND(SUM(C7:C8),2)</f>
        <v>12549.6</v>
      </c>
      <c r="D9" s="8">
        <f t="shared" ref="D9:G9" si="0">SUM(D7:D8)</f>
        <v>17118.79</v>
      </c>
      <c r="E9" s="8">
        <f t="shared" si="0"/>
        <v>20851.91</v>
      </c>
      <c r="F9" s="8">
        <f t="shared" si="0"/>
        <v>26710.560000000001</v>
      </c>
      <c r="G9" s="8">
        <f t="shared" si="0"/>
        <v>30475.33</v>
      </c>
      <c r="H9" s="8">
        <f>Scenarios!K11</f>
        <v>37803.279999999999</v>
      </c>
      <c r="I9" s="8">
        <f>Scenarios!L11</f>
        <v>46945.27</v>
      </c>
    </row>
    <row r="10" spans="1:20">
      <c r="B10" s="163" t="s">
        <v>212</v>
      </c>
      <c r="C10" s="164"/>
      <c r="D10" s="165">
        <f>ROUND(D9/C9-1,3)</f>
        <v>0.36399999999999999</v>
      </c>
      <c r="E10" s="165">
        <f>ROUND(E9/D9-1,3)</f>
        <v>0.218</v>
      </c>
      <c r="F10" s="165">
        <f>ROUND(F9/E9-1,3)</f>
        <v>0.28100000000000003</v>
      </c>
      <c r="G10" s="165">
        <f>ROUND(G9/F9-1,3)</f>
        <v>0.14099999999999999</v>
      </c>
      <c r="H10" s="165">
        <f>ROUND(H9/G9-1,3)</f>
        <v>0.24</v>
      </c>
      <c r="I10" s="165">
        <f>ROUND(I9/H9-1,3)</f>
        <v>0.24199999999999999</v>
      </c>
      <c r="T10" s="1" t="e">
        <f>'3 Model Projected FS'!G84/'3 Model Projected FS'!G113*#REF!+('3 Model Projected FS'!G96+'3 Model Projected FS'!G111)/'3 Model Projected FS'!G113</f>
        <v>#REF!</v>
      </c>
    </row>
    <row r="11" spans="1:20" hidden="1">
      <c r="B11" s="163"/>
      <c r="C11" s="164"/>
      <c r="D11" s="165"/>
      <c r="E11" s="165"/>
      <c r="F11" s="165"/>
      <c r="G11" s="165"/>
      <c r="H11" s="165"/>
      <c r="I11" s="165"/>
    </row>
    <row r="12" spans="1:20" hidden="1">
      <c r="B12" s="163"/>
      <c r="C12" s="164"/>
      <c r="D12" s="165"/>
      <c r="E12" s="165"/>
      <c r="F12" s="165"/>
      <c r="G12" s="165"/>
      <c r="H12" s="165"/>
      <c r="I12" s="165"/>
    </row>
    <row r="13" spans="1:20">
      <c r="B13" s="1" t="s">
        <v>13</v>
      </c>
      <c r="C13" s="19">
        <f>'Consol. Historical FS'!C10</f>
        <v>3259.49</v>
      </c>
      <c r="D13" s="19">
        <f>'Consol. Historical FS'!D10</f>
        <v>4865.1099999999997</v>
      </c>
      <c r="E13" s="19">
        <f>'Consol. Historical FS'!E10</f>
        <v>5654.56</v>
      </c>
      <c r="F13" s="19">
        <f>'Consol. Historical FS'!F10</f>
        <v>7116.34</v>
      </c>
      <c r="G13" s="19">
        <f>'Consol. Historical FS'!G10</f>
        <v>8069.75</v>
      </c>
      <c r="H13" s="19">
        <f>Scenarios!K156</f>
        <v>10017.870000000001</v>
      </c>
      <c r="I13" s="19">
        <f>Scenarios!L156</f>
        <v>12299.66</v>
      </c>
    </row>
    <row r="14" spans="1:20">
      <c r="B14" s="7" t="s">
        <v>14</v>
      </c>
      <c r="C14" s="8">
        <f>ROUND(C9-SUM(C13:C13),2)</f>
        <v>9290.11</v>
      </c>
      <c r="D14" s="8">
        <f>ROUND(D9-SUM(D13:D13),2)</f>
        <v>12253.68</v>
      </c>
      <c r="E14" s="8">
        <f>ROUND(E9-SUM(E13:E13),2)</f>
        <v>15197.35</v>
      </c>
      <c r="F14" s="8">
        <f>ROUND(F9-SUM(F13:F13),2)</f>
        <v>19594.22</v>
      </c>
      <c r="G14" s="8">
        <f>ROUND(G9-SUM(G13:G13),2)</f>
        <v>22405.58</v>
      </c>
      <c r="H14" s="8">
        <f>ROUND(H9-SUM(H13:H13),2)</f>
        <v>27785.41</v>
      </c>
      <c r="I14" s="8">
        <f>ROUND(I9-SUM(I13:I13),2)</f>
        <v>34645.61</v>
      </c>
    </row>
    <row r="15" spans="1:20">
      <c r="B15" s="163" t="s">
        <v>192</v>
      </c>
      <c r="C15" s="165">
        <f>ROUND(C14/C9,3)</f>
        <v>0.74</v>
      </c>
      <c r="D15" s="165">
        <f>ROUND(D14/D9,3)</f>
        <v>0.71599999999999997</v>
      </c>
      <c r="E15" s="165">
        <f>ROUND(E14/E9,3)</f>
        <v>0.72899999999999998</v>
      </c>
      <c r="F15" s="165">
        <f>ROUND(F14/F9,3)</f>
        <v>0.73399999999999999</v>
      </c>
      <c r="G15" s="165">
        <f>ROUND(G14/G9,3)</f>
        <v>0.73499999999999999</v>
      </c>
      <c r="H15" s="165">
        <f>ROUND(H14/H9,3)</f>
        <v>0.73499999999999999</v>
      </c>
      <c r="I15" s="165">
        <f>ROUND(I14/I9,3)</f>
        <v>0.73799999999999999</v>
      </c>
    </row>
    <row r="16" spans="1:20">
      <c r="B16" s="1" t="s">
        <v>15</v>
      </c>
      <c r="C16" s="19">
        <f>'Consol. Historical FS'!C14</f>
        <v>615.04999999999995</v>
      </c>
      <c r="D16" s="19">
        <f>'Consol. Historical FS'!D14</f>
        <v>779.43</v>
      </c>
      <c r="E16" s="19">
        <f>'Consol. Historical FS'!E14</f>
        <v>1178.17</v>
      </c>
      <c r="F16" s="19">
        <f>'Consol. Historical FS'!F14</f>
        <v>1896.4</v>
      </c>
      <c r="G16" s="19">
        <f>'Consol. Historical FS'!G14</f>
        <v>2008.66</v>
      </c>
      <c r="H16" s="19">
        <f>Scenarios!K182</f>
        <v>2381.61</v>
      </c>
      <c r="I16" s="19">
        <f>Scenarios!L182</f>
        <v>3051.44</v>
      </c>
    </row>
    <row r="17" spans="2:9">
      <c r="B17" s="1" t="s">
        <v>16</v>
      </c>
      <c r="C17" s="19">
        <f>'Consol. Historical FS'!C15</f>
        <v>0</v>
      </c>
      <c r="D17" s="19">
        <f>'Consol. Historical FS'!D15</f>
        <v>0</v>
      </c>
      <c r="E17" s="19">
        <f>'Consol. Historical FS'!E15</f>
        <v>0</v>
      </c>
      <c r="F17" s="19">
        <f>'Consol. Historical FS'!F15</f>
        <v>0</v>
      </c>
      <c r="G17" s="19">
        <f>'Consol. Historical FS'!G15</f>
        <v>0</v>
      </c>
      <c r="H17" s="19">
        <f>Scenarios!K190</f>
        <v>0</v>
      </c>
      <c r="I17" s="19">
        <f>Scenarios!L190</f>
        <v>0</v>
      </c>
    </row>
    <row r="18" spans="2:9">
      <c r="B18" s="1" t="s">
        <v>17</v>
      </c>
      <c r="C18" s="19">
        <f>'Consol. Historical FS'!C16</f>
        <v>-23.620000000000005</v>
      </c>
      <c r="D18" s="19">
        <f>'Consol. Historical FS'!D16</f>
        <v>1949.81</v>
      </c>
      <c r="E18" s="19">
        <f>'Consol. Historical FS'!E16</f>
        <v>3072.05</v>
      </c>
      <c r="F18" s="19">
        <f>'Consol. Historical FS'!F16</f>
        <v>1946.72</v>
      </c>
      <c r="G18" s="19">
        <f>'Consol. Historical FS'!G16</f>
        <v>2256.4</v>
      </c>
      <c r="H18" s="19">
        <f>Scenarios!K198</f>
        <v>2721.84</v>
      </c>
      <c r="I18" s="19">
        <f>Scenarios!L198</f>
        <v>3380.06</v>
      </c>
    </row>
    <row r="19" spans="2:9">
      <c r="B19" s="7" t="s">
        <v>18</v>
      </c>
      <c r="C19" s="8">
        <f>ROUND(C14-SUM(C16:C18),2)</f>
        <v>8698.68</v>
      </c>
      <c r="D19" s="8">
        <f t="shared" ref="D19:I19" si="1">ROUND(D14-SUM(D16:D18),2)</f>
        <v>9524.44</v>
      </c>
      <c r="E19" s="8">
        <f t="shared" si="1"/>
        <v>10947.13</v>
      </c>
      <c r="F19" s="8">
        <f t="shared" si="1"/>
        <v>15751.1</v>
      </c>
      <c r="G19" s="8">
        <f t="shared" si="1"/>
        <v>18140.52</v>
      </c>
      <c r="H19" s="8">
        <f t="shared" si="1"/>
        <v>22681.96</v>
      </c>
      <c r="I19" s="8">
        <f t="shared" si="1"/>
        <v>28214.11</v>
      </c>
    </row>
    <row r="20" spans="2:9">
      <c r="B20" s="163" t="s">
        <v>193</v>
      </c>
      <c r="C20" s="165">
        <f>ROUND(C19/C9,3)</f>
        <v>0.69299999999999995</v>
      </c>
      <c r="D20" s="165">
        <f>ROUND(D19/D9,3)</f>
        <v>0.55600000000000005</v>
      </c>
      <c r="E20" s="165">
        <f>ROUND(E19/E9,3)</f>
        <v>0.52500000000000002</v>
      </c>
      <c r="F20" s="165">
        <f>ROUND(F19/F9,3)</f>
        <v>0.59</v>
      </c>
      <c r="G20" s="165">
        <f>ROUND(G19/G9,3)</f>
        <v>0.59499999999999997</v>
      </c>
      <c r="H20" s="165">
        <f>ROUND(H19/H9,3)</f>
        <v>0.6</v>
      </c>
      <c r="I20" s="165">
        <f>ROUND(I19/I9,3)</f>
        <v>0.60099999999999998</v>
      </c>
    </row>
    <row r="21" spans="2:9">
      <c r="B21" s="1" t="s">
        <v>19</v>
      </c>
      <c r="C21" s="19">
        <f>'Consol. Historical FS'!C18</f>
        <v>2107.34</v>
      </c>
      <c r="D21" s="19">
        <f>'Consol. Historical FS'!D18</f>
        <v>3099.3</v>
      </c>
      <c r="E21" s="19">
        <f>'Consol. Historical FS'!E18</f>
        <v>3423.24</v>
      </c>
      <c r="F21" s="19">
        <f>'Consol. Historical FS'!F18</f>
        <v>3888.46</v>
      </c>
      <c r="G21" s="19">
        <f>'Consol. Historical FS'!G18</f>
        <v>4378.93</v>
      </c>
      <c r="H21" s="19">
        <f>Scenarios!K427</f>
        <v>5229.0036928999116</v>
      </c>
      <c r="I21" s="19">
        <f>Scenarios!L427</f>
        <v>5925.2319261248895</v>
      </c>
    </row>
    <row r="22" spans="2:9">
      <c r="B22" s="7" t="s">
        <v>20</v>
      </c>
      <c r="C22" s="8">
        <f>ROUND(C19-C21,2)</f>
        <v>6591.34</v>
      </c>
      <c r="D22" s="8">
        <f>ROUND(D19-D21,2)</f>
        <v>6425.14</v>
      </c>
      <c r="E22" s="8">
        <f t="shared" ref="E22:I22" si="2">ROUND(E19-E21,2)</f>
        <v>7523.89</v>
      </c>
      <c r="F22" s="8">
        <f t="shared" si="2"/>
        <v>11862.64</v>
      </c>
      <c r="G22" s="8">
        <f t="shared" si="2"/>
        <v>13761.59</v>
      </c>
      <c r="H22" s="8">
        <f t="shared" si="2"/>
        <v>17452.96</v>
      </c>
      <c r="I22" s="8">
        <f t="shared" si="2"/>
        <v>22288.880000000001</v>
      </c>
    </row>
    <row r="23" spans="2:9">
      <c r="B23" s="1" t="s">
        <v>21</v>
      </c>
      <c r="C23" s="19">
        <f>'Consol. Historical FS'!C20</f>
        <v>2255.29</v>
      </c>
      <c r="D23" s="19">
        <f>'Consol. Historical FS'!D20</f>
        <v>2543.92</v>
      </c>
      <c r="E23" s="19">
        <f>'Consol. Historical FS'!E20</f>
        <v>2362.64</v>
      </c>
      <c r="F23" s="19">
        <f>'Consol. Historical FS'!F20</f>
        <v>2732.94</v>
      </c>
      <c r="G23" s="19">
        <f>'Consol. Historical FS'!G20</f>
        <v>2531.8200000000002</v>
      </c>
      <c r="H23" s="19">
        <f>Scenarios!K418</f>
        <v>3063.5021999999999</v>
      </c>
      <c r="I23" s="19">
        <f>Scenarios!L418</f>
        <v>3706.8376619999999</v>
      </c>
    </row>
    <row r="24" spans="2:9">
      <c r="B24" s="1" t="s">
        <v>22</v>
      </c>
      <c r="C24" s="19">
        <f>'Consol. Historical FS'!C21</f>
        <v>1970.23</v>
      </c>
      <c r="D24" s="19">
        <f>'Consol. Historical FS'!D21</f>
        <v>2223.7199999999998</v>
      </c>
      <c r="E24" s="19">
        <f>'Consol. Historical FS'!E21</f>
        <v>1553.48</v>
      </c>
      <c r="F24" s="19">
        <f>'Consol. Historical FS'!F21</f>
        <v>1499.42</v>
      </c>
      <c r="G24" s="19">
        <f>'Consol. Historical FS'!G21</f>
        <v>1907.75</v>
      </c>
      <c r="H24" s="19">
        <f>Scenarios!K212</f>
        <v>2268.1999999999998</v>
      </c>
      <c r="I24" s="19">
        <f>Scenarios!L212</f>
        <v>2910.61</v>
      </c>
    </row>
    <row r="25" spans="2:9">
      <c r="B25" s="7" t="s">
        <v>23</v>
      </c>
      <c r="C25" s="8">
        <f>ROUND(C22-C23+C24,2)</f>
        <v>6306.28</v>
      </c>
      <c r="D25" s="8">
        <f t="shared" ref="D25:I25" si="3">ROUND(D22-D23+D24,2)</f>
        <v>6104.94</v>
      </c>
      <c r="E25" s="8">
        <f t="shared" si="3"/>
        <v>6714.73</v>
      </c>
      <c r="F25" s="8">
        <f t="shared" si="3"/>
        <v>10629.12</v>
      </c>
      <c r="G25" s="8">
        <f t="shared" si="3"/>
        <v>13137.52</v>
      </c>
      <c r="H25" s="8">
        <f t="shared" si="3"/>
        <v>16657.66</v>
      </c>
      <c r="I25" s="8">
        <f t="shared" si="3"/>
        <v>21492.65</v>
      </c>
    </row>
    <row r="26" spans="2:9">
      <c r="B26" s="1" t="s">
        <v>24</v>
      </c>
      <c r="C26" s="19">
        <f>'Consol. Historical FS'!C23</f>
        <v>-14.27</v>
      </c>
      <c r="D26" s="19">
        <f>'Consol. Historical FS'!D23</f>
        <v>17.39</v>
      </c>
      <c r="E26" s="19">
        <f>'Consol. Historical FS'!E23</f>
        <v>47.78</v>
      </c>
      <c r="F26" s="19">
        <f>'Consol. Historical FS'!F23</f>
        <v>-161.69</v>
      </c>
      <c r="G26" s="19">
        <f>'Consol. Historical FS'!G23</f>
        <v>141.56</v>
      </c>
      <c r="H26" s="19">
        <f>Scenarios!K220</f>
        <v>0</v>
      </c>
      <c r="I26" s="19">
        <f>Scenarios!L220</f>
        <v>0</v>
      </c>
    </row>
    <row r="27" spans="2:9">
      <c r="B27" s="7" t="s">
        <v>25</v>
      </c>
      <c r="C27" s="8">
        <f>ROUND(SUM(C25:C26),2)</f>
        <v>6292.01</v>
      </c>
      <c r="D27" s="8">
        <f t="shared" ref="D27:I27" si="4">ROUND(SUM(D25:D26),2)</f>
        <v>6122.33</v>
      </c>
      <c r="E27" s="8">
        <f t="shared" si="4"/>
        <v>6762.51</v>
      </c>
      <c r="F27" s="8">
        <f t="shared" si="4"/>
        <v>10467.43</v>
      </c>
      <c r="G27" s="8">
        <f t="shared" si="4"/>
        <v>13279.08</v>
      </c>
      <c r="H27" s="8">
        <f t="shared" si="4"/>
        <v>16657.66</v>
      </c>
      <c r="I27" s="8">
        <f t="shared" si="4"/>
        <v>21492.65</v>
      </c>
    </row>
    <row r="28" spans="2:9">
      <c r="B28" s="1" t="s">
        <v>26</v>
      </c>
      <c r="C28" s="19">
        <f>'Consol. Historical FS'!C25</f>
        <v>0</v>
      </c>
      <c r="D28" s="19">
        <f>'Consol. Historical FS'!D25</f>
        <v>-405.19</v>
      </c>
      <c r="E28" s="19">
        <f>'Consol. Historical FS'!E25</f>
        <v>-1273.3800000000001</v>
      </c>
      <c r="F28" s="19">
        <f>'Consol. Historical FS'!F25</f>
        <v>-373.7</v>
      </c>
      <c r="G28" s="19">
        <f>'Consol. Historical FS'!G25</f>
        <v>-249.46</v>
      </c>
      <c r="H28" s="19">
        <f>Scenarios!K228</f>
        <v>-37.799999999999997</v>
      </c>
      <c r="I28" s="19">
        <f>Scenarios!L228</f>
        <v>-46.95</v>
      </c>
    </row>
    <row r="29" spans="2:9">
      <c r="B29" s="7" t="s">
        <v>27</v>
      </c>
      <c r="C29" s="8">
        <f>ROUND(SUM(C27:C28),2)</f>
        <v>6292.01</v>
      </c>
      <c r="D29" s="8">
        <f t="shared" ref="D29:I29" si="5">ROUND(SUM(D27:D28),2)</f>
        <v>5717.14</v>
      </c>
      <c r="E29" s="8">
        <f t="shared" si="5"/>
        <v>5489.13</v>
      </c>
      <c r="F29" s="8">
        <f t="shared" si="5"/>
        <v>10093.73</v>
      </c>
      <c r="G29" s="8">
        <f t="shared" si="5"/>
        <v>13029.62</v>
      </c>
      <c r="H29" s="8">
        <f t="shared" si="5"/>
        <v>16619.86</v>
      </c>
      <c r="I29" s="8">
        <f t="shared" si="5"/>
        <v>21445.7</v>
      </c>
    </row>
    <row r="30" spans="2:9">
      <c r="B30" s="1" t="s">
        <v>213</v>
      </c>
      <c r="C30" s="19">
        <f>'Consol. Historical FS'!C27+'Consol. Historical FS'!C28+'Consol. Historical FS'!C29</f>
        <v>1243.2700000000002</v>
      </c>
      <c r="D30" s="19">
        <f>'Consol. Historical FS'!D27+'Consol. Historical FS'!D28+'Consol. Historical FS'!D29</f>
        <v>763.96</v>
      </c>
      <c r="E30" s="19">
        <f>'Consol. Historical FS'!E27+'Consol. Historical FS'!E28+'Consol. Historical FS'!E29</f>
        <v>96.38</v>
      </c>
      <c r="F30" s="19">
        <f>'Consol. Historical FS'!F27+'Consol. Historical FS'!F28+'Consol. Historical FS'!F29</f>
        <v>1989.7400000000002</v>
      </c>
      <c r="G30" s="19">
        <f>'Consol. Historical FS'!G27+'Consol. Historical FS'!G28+'Consol. Historical FS'!G29</f>
        <v>1968.36</v>
      </c>
      <c r="H30" s="19">
        <f>ROUND(H29*Scenarios!K252,2)</f>
        <v>2659.18</v>
      </c>
      <c r="I30" s="19">
        <f>ROUND(I29*Scenarios!L252,2)</f>
        <v>3431.31</v>
      </c>
    </row>
    <row r="31" spans="2:9">
      <c r="B31" s="163" t="s">
        <v>214</v>
      </c>
      <c r="C31" s="165">
        <f>ROUND(C30/C29,3)</f>
        <v>0.19800000000000001</v>
      </c>
      <c r="D31" s="165">
        <f>ROUND(D30/D29,3)</f>
        <v>0.13400000000000001</v>
      </c>
      <c r="E31" s="165">
        <f>ROUND(E30/E29,3)</f>
        <v>1.7999999999999999E-2</v>
      </c>
      <c r="F31" s="165">
        <f>ROUND(F30/F29,3)</f>
        <v>0.19700000000000001</v>
      </c>
      <c r="G31" s="165">
        <f>ROUND(G30/G29,3)</f>
        <v>0.151</v>
      </c>
      <c r="H31" s="165">
        <f t="shared" ref="H31:I31" si="6">ROUND(H30/H29,3)</f>
        <v>0.16</v>
      </c>
      <c r="I31" s="165">
        <f t="shared" si="6"/>
        <v>0.16</v>
      </c>
    </row>
    <row r="32" spans="2:9">
      <c r="B32" s="9" t="s">
        <v>31</v>
      </c>
      <c r="C32" s="10">
        <f>ROUND(C29-C30,2)</f>
        <v>5048.74</v>
      </c>
      <c r="D32" s="10">
        <f t="shared" ref="D32:I32" si="7">ROUND(D29-D30,2)</f>
        <v>4953.18</v>
      </c>
      <c r="E32" s="10">
        <f t="shared" si="7"/>
        <v>5392.75</v>
      </c>
      <c r="F32" s="10">
        <f t="shared" si="7"/>
        <v>8103.99</v>
      </c>
      <c r="G32" s="10">
        <f t="shared" si="7"/>
        <v>11061.26</v>
      </c>
      <c r="H32" s="10">
        <f t="shared" si="7"/>
        <v>13960.68</v>
      </c>
      <c r="I32" s="10">
        <f t="shared" si="7"/>
        <v>18014.39</v>
      </c>
    </row>
    <row r="33" spans="1:9">
      <c r="B33" s="1" t="s">
        <v>32</v>
      </c>
      <c r="C33" s="19">
        <f>'Consol. Historical FS'!C31</f>
        <v>0</v>
      </c>
      <c r="D33" s="19">
        <f>'Consol. Historical FS'!D31</f>
        <v>0</v>
      </c>
      <c r="E33" s="19">
        <f>'Consol. Historical FS'!E31</f>
        <v>0</v>
      </c>
      <c r="F33" s="19">
        <f>'Consol. Historical FS'!F31</f>
        <v>0</v>
      </c>
      <c r="G33" s="19">
        <f>'Consol. Historical FS'!G31</f>
        <v>0</v>
      </c>
      <c r="H33" s="19">
        <f>Scenarios!K236</f>
        <v>0</v>
      </c>
      <c r="I33" s="19">
        <f>Scenarios!L236</f>
        <v>0</v>
      </c>
    </row>
    <row r="34" spans="1:9">
      <c r="B34" s="1" t="s">
        <v>33</v>
      </c>
      <c r="C34" s="19">
        <f>'Consol. Historical FS'!C32</f>
        <v>0</v>
      </c>
      <c r="D34" s="19">
        <f>'Consol. Historical FS'!D32</f>
        <v>0</v>
      </c>
      <c r="E34" s="19">
        <f>'Consol. Historical FS'!E32</f>
        <v>0</v>
      </c>
      <c r="F34" s="19">
        <f>'Consol. Historical FS'!F32</f>
        <v>0</v>
      </c>
      <c r="G34" s="19">
        <f>'Consol. Historical FS'!G32</f>
        <v>0</v>
      </c>
      <c r="H34" s="19">
        <f>Scenarios!K244</f>
        <v>0</v>
      </c>
      <c r="I34" s="19">
        <f>Scenarios!L244</f>
        <v>0</v>
      </c>
    </row>
    <row r="35" spans="1:9">
      <c r="B35" s="9" t="s">
        <v>34</v>
      </c>
      <c r="C35" s="10">
        <f>ROUND(SUM(C33:C34),2)</f>
        <v>0</v>
      </c>
      <c r="D35" s="10">
        <f t="shared" ref="D35:I35" si="8">ROUND(SUM(D33:D34),2)</f>
        <v>0</v>
      </c>
      <c r="E35" s="10">
        <f t="shared" si="8"/>
        <v>0</v>
      </c>
      <c r="F35" s="10">
        <f t="shared" si="8"/>
        <v>0</v>
      </c>
      <c r="G35" s="10">
        <f t="shared" si="8"/>
        <v>0</v>
      </c>
      <c r="H35" s="10">
        <f t="shared" si="8"/>
        <v>0</v>
      </c>
      <c r="I35" s="10">
        <f t="shared" si="8"/>
        <v>0</v>
      </c>
    </row>
    <row r="36" spans="1:9">
      <c r="B36" s="7" t="s">
        <v>35</v>
      </c>
      <c r="C36" s="8">
        <f>ROUND(SUM(C32,C35),2)</f>
        <v>5048.74</v>
      </c>
      <c r="D36" s="8">
        <f t="shared" ref="D36:I36" si="9">ROUND(SUM(D32,D35),2)</f>
        <v>4953.18</v>
      </c>
      <c r="E36" s="8">
        <f t="shared" si="9"/>
        <v>5392.75</v>
      </c>
      <c r="F36" s="8">
        <f t="shared" si="9"/>
        <v>8103.99</v>
      </c>
      <c r="G36" s="8">
        <f t="shared" si="9"/>
        <v>11061.26</v>
      </c>
      <c r="H36" s="8">
        <f t="shared" si="9"/>
        <v>13960.68</v>
      </c>
      <c r="I36" s="8">
        <f t="shared" si="9"/>
        <v>18014.39</v>
      </c>
    </row>
    <row r="37" spans="1:9">
      <c r="B37" s="166" t="s">
        <v>215</v>
      </c>
      <c r="C37" s="167">
        <f>ROUND(C36/C9,3)</f>
        <v>0.40200000000000002</v>
      </c>
      <c r="D37" s="167">
        <f>ROUND(D36/D9,3)</f>
        <v>0.28899999999999998</v>
      </c>
      <c r="E37" s="167">
        <f>ROUND(E36/E9,3)</f>
        <v>0.25900000000000001</v>
      </c>
      <c r="F37" s="167">
        <f>ROUND(F36/F9,3)</f>
        <v>0.30299999999999999</v>
      </c>
      <c r="G37" s="167">
        <f>ROUND(G36/G9,3)</f>
        <v>0.36299999999999999</v>
      </c>
      <c r="H37" s="167">
        <f>ROUND(H36/H9,3)</f>
        <v>0.36899999999999999</v>
      </c>
      <c r="I37" s="167">
        <f>ROUND(I36/I9,3)</f>
        <v>0.38400000000000001</v>
      </c>
    </row>
    <row r="38" spans="1:9">
      <c r="B38" s="14" t="s">
        <v>36</v>
      </c>
      <c r="F38" s="15"/>
    </row>
    <row r="39" spans="1:9">
      <c r="B39" s="16" t="s">
        <v>37</v>
      </c>
      <c r="C39" s="19">
        <f>'Consol. Historical FS'!C36</f>
        <v>4994.3</v>
      </c>
      <c r="D39" s="19">
        <f>'Consol. Historical FS'!D36</f>
        <v>4886.03</v>
      </c>
      <c r="E39" s="19">
        <f>'Consol. Historical FS'!E36</f>
        <v>5310.18</v>
      </c>
      <c r="F39" s="19">
        <f>'Consol. Historical FS'!F36</f>
        <v>8110.64</v>
      </c>
      <c r="G39" s="19">
        <f>'Consol. Historical FS'!G36</f>
        <v>11092.31</v>
      </c>
      <c r="H39" s="19">
        <f>ROUND(H36*Scenarios!K256,2)</f>
        <v>13999.87</v>
      </c>
      <c r="I39" s="19">
        <f>ROUND(I36*Scenarios!L256,2)</f>
        <v>18064.96</v>
      </c>
    </row>
    <row r="40" spans="1:9">
      <c r="B40" s="16" t="s">
        <v>38</v>
      </c>
      <c r="C40" s="19">
        <f>'Consol. Historical FS'!C37</f>
        <v>54.44</v>
      </c>
      <c r="D40" s="19">
        <f>'Consol. Historical FS'!D37</f>
        <v>67.150000000000006</v>
      </c>
      <c r="E40" s="19">
        <f>'Consol. Historical FS'!E37</f>
        <v>82.57</v>
      </c>
      <c r="F40" s="19">
        <f>'Consol. Historical FS'!F37</f>
        <v>-6.65</v>
      </c>
      <c r="G40" s="19">
        <f>'Consol. Historical FS'!G37</f>
        <v>-31.05</v>
      </c>
      <c r="H40" s="19">
        <f>ROUND(H36*Scenarios!K259,2)</f>
        <v>-39.19</v>
      </c>
      <c r="I40" s="19">
        <f>ROUND(I36*Scenarios!L259,2)</f>
        <v>-50.57</v>
      </c>
    </row>
    <row r="41" spans="1:9">
      <c r="B41" s="18"/>
      <c r="F41" s="15"/>
    </row>
    <row r="42" spans="1:9">
      <c r="A42" s="81" t="s">
        <v>8</v>
      </c>
      <c r="B42" s="81" t="s">
        <v>39</v>
      </c>
      <c r="C42" s="82"/>
      <c r="D42" s="82"/>
      <c r="E42" s="82"/>
      <c r="F42" s="82"/>
      <c r="G42" s="82"/>
      <c r="H42" s="82"/>
      <c r="I42" s="82"/>
    </row>
    <row r="44" spans="1:9">
      <c r="B44" s="18" t="s">
        <v>40</v>
      </c>
    </row>
    <row r="45" spans="1:9">
      <c r="B45" s="4" t="s">
        <v>41</v>
      </c>
    </row>
    <row r="46" spans="1:9">
      <c r="B46" s="1" t="s">
        <v>42</v>
      </c>
      <c r="C46" s="19">
        <f>'Consol. Historical FS'!C43</f>
        <v>36791.51</v>
      </c>
      <c r="D46" s="19">
        <f>'Consol. Historical FS'!D43</f>
        <v>41488.699999999997</v>
      </c>
      <c r="E46" s="19">
        <f>'Consol. Historical FS'!E43</f>
        <v>48414</v>
      </c>
      <c r="F46" s="19">
        <f>'Consol. Historical FS'!F43</f>
        <v>51803.83</v>
      </c>
      <c r="G46" s="19">
        <f>'Consol. Historical FS'!G43</f>
        <v>62394.43</v>
      </c>
      <c r="H46" s="19">
        <f>G46/Scenarios!J$426*Scenarios!K$426</f>
        <v>74595.961092742407</v>
      </c>
      <c r="I46" s="19">
        <f>H46/Scenarios!K$426*Scenarios!L$426</f>
        <v>84528.219176216153</v>
      </c>
    </row>
    <row r="47" spans="1:9">
      <c r="B47" s="1" t="s">
        <v>43</v>
      </c>
      <c r="C47" s="19">
        <f>'Consol. Historical FS'!C44</f>
        <v>1775.95</v>
      </c>
      <c r="D47" s="19">
        <f>'Consol. Historical FS'!D44</f>
        <v>2772.25</v>
      </c>
      <c r="E47" s="19">
        <f>'Consol. Historical FS'!E44</f>
        <v>3541.9</v>
      </c>
      <c r="F47" s="19">
        <f>'Consol. Historical FS'!F44</f>
        <v>3809.11</v>
      </c>
      <c r="G47" s="19">
        <f>'Consol. Historical FS'!G44</f>
        <v>6177.54</v>
      </c>
      <c r="H47" s="19">
        <f>G47/Scenarios!J$426*Scenarios!K$426</f>
        <v>7385.5876796832654</v>
      </c>
      <c r="I47" s="19">
        <f>H47/Scenarios!K$426*Scenarios!L$426</f>
        <v>8368.9594582375757</v>
      </c>
    </row>
    <row r="48" spans="1:9">
      <c r="B48" s="1" t="s">
        <v>44</v>
      </c>
      <c r="C48" s="19">
        <f>'Consol. Historical FS'!C45</f>
        <v>3697.13</v>
      </c>
      <c r="D48" s="19">
        <f>'Consol. Historical FS'!D45</f>
        <v>4022.9</v>
      </c>
      <c r="E48" s="19">
        <f>'Consol. Historical FS'!E45</f>
        <v>6814.03</v>
      </c>
      <c r="F48" s="19">
        <f>'Consol. Historical FS'!F45</f>
        <v>10936.09</v>
      </c>
      <c r="G48" s="19">
        <f>'Consol. Historical FS'!G45</f>
        <v>11592.19</v>
      </c>
      <c r="H48" s="19">
        <f>Scenarios!K429</f>
        <v>7454.4729641526246</v>
      </c>
      <c r="I48" s="19">
        <f>Scenarios!L429</f>
        <v>9318.0912051907817</v>
      </c>
    </row>
    <row r="49" spans="2:9">
      <c r="B49" s="1" t="s">
        <v>45</v>
      </c>
      <c r="C49" s="19">
        <f>'Consol. Historical FS'!C46</f>
        <v>0</v>
      </c>
      <c r="D49" s="19">
        <f>'Consol. Historical FS'!D46</f>
        <v>0</v>
      </c>
      <c r="E49" s="19">
        <f>'Consol. Historical FS'!E46</f>
        <v>2473.38</v>
      </c>
      <c r="F49" s="19">
        <f>'Consol. Historical FS'!F46</f>
        <v>1345.3</v>
      </c>
      <c r="G49" s="19">
        <f>'Consol. Historical FS'!G46</f>
        <v>1459.16</v>
      </c>
      <c r="H49" s="19">
        <f>G49/Scenarios!J$426*Scenarios!K$426</f>
        <v>1744.5057609803634</v>
      </c>
      <c r="I49" s="19">
        <f>H49/Scenarios!K$426*Scenarios!L$426</f>
        <v>1976.78216297781</v>
      </c>
    </row>
    <row r="50" spans="2:9">
      <c r="B50" s="1" t="s">
        <v>46</v>
      </c>
      <c r="C50" s="19">
        <f>'Consol. Historical FS'!C47</f>
        <v>4036.43</v>
      </c>
      <c r="D50" s="19">
        <f>'Consol. Historical FS'!D47</f>
        <v>6711.43</v>
      </c>
      <c r="E50" s="19">
        <f>'Consol. Historical FS'!E47</f>
        <v>6963.4</v>
      </c>
      <c r="F50" s="19">
        <f>'Consol. Historical FS'!F47</f>
        <v>6906.93</v>
      </c>
      <c r="G50" s="19">
        <f>'Consol. Historical FS'!G47</f>
        <v>7093.59</v>
      </c>
      <c r="H50" s="19">
        <f>Scenarios!K263</f>
        <v>7093.59</v>
      </c>
      <c r="I50" s="19">
        <f>Scenarios!L263</f>
        <v>7093.59</v>
      </c>
    </row>
    <row r="51" spans="2:9">
      <c r="B51" s="1" t="s">
        <v>47</v>
      </c>
      <c r="C51" s="19">
        <f>'Consol. Historical FS'!C48</f>
        <v>5533.03</v>
      </c>
      <c r="D51" s="19">
        <f>'Consol. Historical FS'!D48</f>
        <v>11580.54</v>
      </c>
      <c r="E51" s="19">
        <f>'Consol. Historical FS'!E48</f>
        <v>11445.51</v>
      </c>
      <c r="F51" s="19">
        <f>'Consol. Historical FS'!F48</f>
        <v>11282.64</v>
      </c>
      <c r="G51" s="19">
        <f>'Consol. Historical FS'!G48</f>
        <v>12491.6</v>
      </c>
      <c r="H51" s="19">
        <f>Scenarios!K264</f>
        <v>113.91</v>
      </c>
      <c r="I51" s="19">
        <f>Scenarios!L264</f>
        <v>113.91</v>
      </c>
    </row>
    <row r="52" spans="2:9">
      <c r="B52" s="1" t="s">
        <v>48</v>
      </c>
      <c r="C52" s="19">
        <f>'Consol. Historical FS'!C49</f>
        <v>0</v>
      </c>
      <c r="D52" s="19">
        <f>'Consol. Historical FS'!D49</f>
        <v>0</v>
      </c>
      <c r="E52" s="19">
        <f>'Consol. Historical FS'!E49</f>
        <v>0</v>
      </c>
      <c r="F52" s="19">
        <f>'Consol. Historical FS'!F49</f>
        <v>0</v>
      </c>
      <c r="G52" s="19">
        <f>'Consol. Historical FS'!G49</f>
        <v>113.91</v>
      </c>
      <c r="H52" s="19">
        <f>Scenarios!K264</f>
        <v>113.91</v>
      </c>
      <c r="I52" s="19">
        <f>Scenarios!L264</f>
        <v>113.91</v>
      </c>
    </row>
    <row r="53" spans="2:9">
      <c r="B53" s="1" t="s">
        <v>49</v>
      </c>
      <c r="C53" s="19">
        <f>'Consol. Historical FS'!C50</f>
        <v>649.53</v>
      </c>
      <c r="D53" s="19">
        <f>'Consol. Historical FS'!D50</f>
        <v>1189.8499999999999</v>
      </c>
      <c r="E53" s="19">
        <f>'Consol. Historical FS'!E50</f>
        <v>2498.38</v>
      </c>
      <c r="F53" s="19">
        <f>'Consol. Historical FS'!F50</f>
        <v>2707.26</v>
      </c>
      <c r="G53" s="19">
        <f>'Consol. Historical FS'!G50</f>
        <v>3082.64</v>
      </c>
      <c r="H53" s="19">
        <f>Scenarios!K265</f>
        <v>3082.64</v>
      </c>
      <c r="I53" s="19">
        <f>Scenarios!L265</f>
        <v>3082.64</v>
      </c>
    </row>
    <row r="54" spans="2:9">
      <c r="B54" s="1" t="s">
        <v>50</v>
      </c>
      <c r="C54" s="19"/>
      <c r="D54" s="19"/>
      <c r="E54" s="19"/>
      <c r="F54" s="19"/>
      <c r="G54" s="19"/>
      <c r="H54" s="19"/>
      <c r="I54" s="19"/>
    </row>
    <row r="55" spans="2:9">
      <c r="B55" s="20" t="s">
        <v>51</v>
      </c>
      <c r="C55" s="19">
        <f>'Consol. Historical FS'!C52</f>
        <v>447.86</v>
      </c>
      <c r="D55" s="19">
        <f>'Consol. Historical FS'!D52</f>
        <v>1923.1</v>
      </c>
      <c r="E55" s="19">
        <f>'Consol. Historical FS'!E52</f>
        <v>1059.47</v>
      </c>
      <c r="F55" s="19">
        <f>'Consol. Historical FS'!F52</f>
        <v>919.61</v>
      </c>
      <c r="G55" s="19">
        <f>'Consol. Historical FS'!G52</f>
        <v>824.93</v>
      </c>
      <c r="H55" s="19">
        <f>Scenarios!K266</f>
        <v>824.93</v>
      </c>
      <c r="I55" s="19">
        <f>Scenarios!L266</f>
        <v>824.93</v>
      </c>
    </row>
    <row r="56" spans="2:9">
      <c r="B56" s="20" t="s">
        <v>52</v>
      </c>
      <c r="C56" s="19">
        <f>'Consol. Historical FS'!C53</f>
        <v>6086.5300000000007</v>
      </c>
      <c r="D56" s="19">
        <f>'Consol. Historical FS'!D53</f>
        <v>8251.4399999999987</v>
      </c>
      <c r="E56" s="19">
        <f>'Consol. Historical FS'!E53</f>
        <v>7709.6</v>
      </c>
      <c r="F56" s="19">
        <f>'Consol. Historical FS'!F53</f>
        <v>4750.7</v>
      </c>
      <c r="G56" s="19">
        <f>'Consol. Historical FS'!G53</f>
        <v>5685.33</v>
      </c>
      <c r="H56" s="19">
        <f>Scenarios!K267</f>
        <v>5685.33</v>
      </c>
      <c r="I56" s="19">
        <f>Scenarios!L267</f>
        <v>5685.33</v>
      </c>
    </row>
    <row r="57" spans="2:9">
      <c r="B57" s="1" t="s">
        <v>53</v>
      </c>
      <c r="C57" s="19">
        <f>'Consol. Historical FS'!C54</f>
        <v>881.73</v>
      </c>
      <c r="D57" s="19">
        <f>'Consol. Historical FS'!D54</f>
        <v>1357.83</v>
      </c>
      <c r="E57" s="19">
        <f>'Consol. Historical FS'!E54</f>
        <v>2199.9</v>
      </c>
      <c r="F57" s="19">
        <f>'Consol. Historical FS'!F54</f>
        <v>1918.67</v>
      </c>
      <c r="G57" s="19">
        <f>'Consol. Historical FS'!G54</f>
        <v>1889.58</v>
      </c>
      <c r="H57" s="19">
        <f>Scenarios!K268</f>
        <v>1889.58</v>
      </c>
      <c r="I57" s="19">
        <f>Scenarios!L268</f>
        <v>1889.58</v>
      </c>
    </row>
    <row r="58" spans="2:9">
      <c r="B58" s="1" t="s">
        <v>54</v>
      </c>
      <c r="C58" s="19">
        <f>'Consol. Historical FS'!C55</f>
        <v>0</v>
      </c>
      <c r="D58" s="19">
        <f>'Consol. Historical FS'!D55</f>
        <v>0</v>
      </c>
      <c r="E58" s="19">
        <f>'Consol. Historical FS'!E55</f>
        <v>0</v>
      </c>
      <c r="F58" s="19">
        <f>'Consol. Historical FS'!F55</f>
        <v>0</v>
      </c>
      <c r="G58" s="19">
        <f>'Consol. Historical FS'!G55</f>
        <v>0</v>
      </c>
      <c r="H58" s="19">
        <f>Scenarios!K269</f>
        <v>0</v>
      </c>
      <c r="I58" s="19">
        <f>Scenarios!L269</f>
        <v>0</v>
      </c>
    </row>
    <row r="59" spans="2:9">
      <c r="B59" s="1" t="s">
        <v>55</v>
      </c>
      <c r="C59" s="19">
        <f>'Consol. Historical FS'!C56</f>
        <v>2593.44</v>
      </c>
      <c r="D59" s="19">
        <f>'Consol. Historical FS'!D56</f>
        <v>2299.36</v>
      </c>
      <c r="E59" s="19">
        <f>'Consol. Historical FS'!E56</f>
        <v>4338.04</v>
      </c>
      <c r="F59" s="19">
        <f>'Consol. Historical FS'!F56</f>
        <v>5065.37</v>
      </c>
      <c r="G59" s="19">
        <f>'Consol. Historical FS'!G56</f>
        <v>3583.21</v>
      </c>
      <c r="H59" s="19">
        <f>Scenarios!K270</f>
        <v>3583.21</v>
      </c>
      <c r="I59" s="19">
        <f>Scenarios!L270</f>
        <v>3583.21</v>
      </c>
    </row>
    <row r="60" spans="2:9">
      <c r="B60" s="9" t="s">
        <v>56</v>
      </c>
      <c r="C60" s="10">
        <f>SUM(C46:C59)</f>
        <v>62493.14</v>
      </c>
      <c r="D60" s="10">
        <f t="shared" ref="D60:I60" si="10">SUM(D46:D59)</f>
        <v>81597.400000000023</v>
      </c>
      <c r="E60" s="10">
        <f t="shared" si="10"/>
        <v>97457.609999999986</v>
      </c>
      <c r="F60" s="10">
        <f t="shared" si="10"/>
        <v>101445.51</v>
      </c>
      <c r="G60" s="10">
        <f t="shared" si="10"/>
        <v>116388.11000000002</v>
      </c>
      <c r="H60" s="10">
        <f>SUM(H46:H59)</f>
        <v>113567.62749755866</v>
      </c>
      <c r="I60" s="10">
        <f t="shared" si="10"/>
        <v>126579.15200262232</v>
      </c>
    </row>
    <row r="62" spans="2:9">
      <c r="B62" s="4" t="s">
        <v>57</v>
      </c>
    </row>
    <row r="63" spans="2:9">
      <c r="B63" s="1" t="s">
        <v>58</v>
      </c>
      <c r="C63" s="19">
        <f>'Consol. Historical FS'!C60</f>
        <v>991.85</v>
      </c>
      <c r="D63" s="19">
        <f>'Consol. Historical FS'!D60</f>
        <v>395.64</v>
      </c>
      <c r="E63" s="19">
        <f>'Consol. Historical FS'!E60</f>
        <v>451.97</v>
      </c>
      <c r="F63" s="19">
        <f>'Consol. Historical FS'!F60</f>
        <v>437.51</v>
      </c>
      <c r="G63" s="19">
        <f>'Consol. Historical FS'!G60</f>
        <v>521.79999999999995</v>
      </c>
      <c r="H63" s="19">
        <f>ROUND(SUM(H13:H13)/(365/Scenarios!K305),2)</f>
        <v>631.26</v>
      </c>
      <c r="I63" s="19">
        <f>ROUND(SUM(I13:I13)/(365/Scenarios!L305),2)</f>
        <v>775.05</v>
      </c>
    </row>
    <row r="64" spans="2:9">
      <c r="B64" s="1" t="s">
        <v>50</v>
      </c>
      <c r="C64" s="19"/>
      <c r="D64" s="19"/>
      <c r="E64" s="19"/>
      <c r="F64" s="19"/>
      <c r="G64" s="19"/>
      <c r="H64" s="19"/>
      <c r="I64" s="19"/>
    </row>
    <row r="65" spans="2:9">
      <c r="B65" s="20" t="s">
        <v>59</v>
      </c>
      <c r="C65" s="19">
        <f>'Consol. Historical FS'!C62</f>
        <v>1138.76</v>
      </c>
      <c r="D65" s="19">
        <f>'Consol. Historical FS'!D62</f>
        <v>47.79</v>
      </c>
      <c r="E65" s="19">
        <f>'Consol. Historical FS'!E62</f>
        <v>4028.69</v>
      </c>
      <c r="F65" s="19">
        <f>'Consol. Historical FS'!F62</f>
        <v>661.79</v>
      </c>
      <c r="G65" s="19">
        <f>'Consol. Historical FS'!G62</f>
        <v>751.88</v>
      </c>
      <c r="H65" s="19">
        <f>Scenarios!K275</f>
        <v>1251.8800000000001</v>
      </c>
      <c r="I65" s="19">
        <f>Scenarios!L275</f>
        <v>1751.88</v>
      </c>
    </row>
    <row r="66" spans="2:9">
      <c r="B66" s="20" t="s">
        <v>60</v>
      </c>
      <c r="C66" s="19">
        <f>'Consol. Historical FS'!C63</f>
        <v>2385.9</v>
      </c>
      <c r="D66" s="19">
        <f>'Consol. Historical FS'!D63</f>
        <v>2221.9</v>
      </c>
      <c r="E66" s="19">
        <f>'Consol. Historical FS'!E63</f>
        <v>3241.67</v>
      </c>
      <c r="F66" s="19">
        <f>'Consol. Historical FS'!F63</f>
        <v>3666.94</v>
      </c>
      <c r="G66" s="19">
        <f>'Consol. Historical FS'!G63</f>
        <v>4432.3599999999997</v>
      </c>
      <c r="H66" s="19">
        <f>ROUND(H9/(365/Scenarios!K311),2)</f>
        <v>4971.3900000000003</v>
      </c>
      <c r="I66" s="19">
        <f>ROUND(I9/(365/Scenarios!L311),2)</f>
        <v>6045.01</v>
      </c>
    </row>
    <row r="67" spans="2:9">
      <c r="B67" s="20" t="s">
        <v>61</v>
      </c>
      <c r="C67" s="19">
        <f>'Consol. Historical FS'!C64</f>
        <v>4198.04</v>
      </c>
      <c r="D67" s="19">
        <f>'Consol. Historical FS'!D64</f>
        <v>8653.02</v>
      </c>
      <c r="E67" s="19">
        <f>'Consol. Historical FS'!E64</f>
        <v>931.99</v>
      </c>
      <c r="F67" s="19">
        <f>'Consol. Historical FS'!F64</f>
        <v>1575.73</v>
      </c>
      <c r="G67" s="19">
        <f>'Consol. Historical FS'!G64</f>
        <v>3406.32</v>
      </c>
      <c r="H67" s="19">
        <f>H201</f>
        <v>11346.390398113392</v>
      </c>
      <c r="I67" s="19">
        <f t="shared" ref="I67" si="11">I201</f>
        <v>20842.201717341086</v>
      </c>
    </row>
    <row r="68" spans="2:9">
      <c r="B68" s="20" t="s">
        <v>62</v>
      </c>
      <c r="C68" s="19">
        <f>'Consol. Historical FS'!C65</f>
        <v>502.74</v>
      </c>
      <c r="D68" s="19">
        <f>'Consol. Historical FS'!D65</f>
        <v>2014.39</v>
      </c>
      <c r="E68" s="19">
        <f>'Consol. Historical FS'!E65</f>
        <v>3316.79</v>
      </c>
      <c r="F68" s="19">
        <f>'Consol. Historical FS'!F65</f>
        <v>6056.15</v>
      </c>
      <c r="G68" s="19">
        <f>'Consol. Historical FS'!G65</f>
        <v>3199.65</v>
      </c>
      <c r="H68" s="19">
        <f>G68</f>
        <v>3199.65</v>
      </c>
      <c r="I68" s="19">
        <f>H68</f>
        <v>3199.65</v>
      </c>
    </row>
    <row r="69" spans="2:9">
      <c r="B69" s="20" t="s">
        <v>63</v>
      </c>
      <c r="C69" s="19">
        <f>'Consol. Historical FS'!C66</f>
        <v>1082.81</v>
      </c>
      <c r="D69" s="19">
        <f>'Consol. Historical FS'!D66</f>
        <v>1302.42</v>
      </c>
      <c r="E69" s="19">
        <f>'Consol. Historical FS'!E66</f>
        <v>408.09999999999997</v>
      </c>
      <c r="F69" s="19">
        <f>'Consol. Historical FS'!F66</f>
        <v>269.01</v>
      </c>
      <c r="G69" s="19">
        <f>'Consol. Historical FS'!G66</f>
        <v>173.17</v>
      </c>
      <c r="H69" s="19">
        <f>Scenarios!K276</f>
        <v>173.17</v>
      </c>
      <c r="I69" s="19">
        <f>Scenarios!L276</f>
        <v>173.17</v>
      </c>
    </row>
    <row r="70" spans="2:9">
      <c r="B70" s="20" t="s">
        <v>64</v>
      </c>
      <c r="C70" s="19">
        <f>'Consol. Historical FS'!C67</f>
        <v>0</v>
      </c>
      <c r="D70" s="19">
        <f>'Consol. Historical FS'!D67</f>
        <v>0</v>
      </c>
      <c r="E70" s="19">
        <f>'Consol. Historical FS'!E67</f>
        <v>0</v>
      </c>
      <c r="F70" s="19">
        <f>'Consol. Historical FS'!F67</f>
        <v>0</v>
      </c>
      <c r="G70" s="19">
        <f>'Consol. Historical FS'!G67</f>
        <v>0</v>
      </c>
      <c r="H70" s="19">
        <f>Scenarios!K277</f>
        <v>0</v>
      </c>
      <c r="I70" s="19">
        <f>Scenarios!L277</f>
        <v>0</v>
      </c>
    </row>
    <row r="71" spans="2:9">
      <c r="B71" s="20" t="s">
        <v>65</v>
      </c>
      <c r="C71" s="19">
        <f>'Consol. Historical FS'!C68</f>
        <v>1162.48</v>
      </c>
      <c r="D71" s="19">
        <f>'Consol. Historical FS'!D68</f>
        <v>824.69</v>
      </c>
      <c r="E71" s="19">
        <f>'Consol. Historical FS'!E68</f>
        <v>1962.9699999999998</v>
      </c>
      <c r="F71" s="19">
        <f>'Consol. Historical FS'!F68</f>
        <v>3441.08</v>
      </c>
      <c r="G71" s="19">
        <f>'Consol. Historical FS'!G68</f>
        <v>4471.8</v>
      </c>
      <c r="H71" s="19">
        <f>Scenarios!K278</f>
        <v>4471.8</v>
      </c>
      <c r="I71" s="19">
        <f>Scenarios!L278</f>
        <v>4471.8</v>
      </c>
    </row>
    <row r="72" spans="2:9">
      <c r="B72" s="1" t="s">
        <v>66</v>
      </c>
      <c r="C72" s="19">
        <f>'Consol. Historical FS'!C69</f>
        <v>1013.2</v>
      </c>
      <c r="D72" s="19">
        <f>'Consol. Historical FS'!D69</f>
        <v>730.09</v>
      </c>
      <c r="E72" s="19">
        <f>'Consol. Historical FS'!E69</f>
        <v>1164.08</v>
      </c>
      <c r="F72" s="19">
        <f>'Consol. Historical FS'!F69</f>
        <v>1177.4000000000001</v>
      </c>
      <c r="G72" s="19">
        <f>'Consol. Historical FS'!G69</f>
        <v>1800.39</v>
      </c>
      <c r="H72" s="19">
        <f>Scenarios!K279</f>
        <v>1800.39</v>
      </c>
      <c r="I72" s="19">
        <f>Scenarios!L279</f>
        <v>1800.39</v>
      </c>
    </row>
    <row r="73" spans="2:9">
      <c r="B73" s="1" t="s">
        <v>179</v>
      </c>
      <c r="C73" s="19">
        <f>'Consol. Historical FS'!C70</f>
        <v>0</v>
      </c>
      <c r="D73" s="19">
        <f>'Consol. Historical FS'!D70</f>
        <v>0</v>
      </c>
      <c r="E73" s="19">
        <f>'Consol. Historical FS'!E70</f>
        <v>0</v>
      </c>
      <c r="F73" s="19">
        <f>'Consol. Historical FS'!F70</f>
        <v>0</v>
      </c>
      <c r="G73" s="19">
        <f>'Consol. Historical FS'!G70</f>
        <v>0</v>
      </c>
      <c r="H73" s="19">
        <f>Scenarios!K280</f>
        <v>0</v>
      </c>
      <c r="I73" s="19">
        <f>Scenarios!L280</f>
        <v>0</v>
      </c>
    </row>
    <row r="74" spans="2:9">
      <c r="B74" s="9" t="s">
        <v>67</v>
      </c>
      <c r="C74" s="10">
        <f>SUM(C63:C73)</f>
        <v>12475.779999999999</v>
      </c>
      <c r="D74" s="10">
        <f t="shared" ref="D74:I74" si="12">SUM(D63:D73)</f>
        <v>16189.94</v>
      </c>
      <c r="E74" s="10">
        <f t="shared" si="12"/>
        <v>15506.26</v>
      </c>
      <c r="F74" s="10">
        <f t="shared" si="12"/>
        <v>17285.61</v>
      </c>
      <c r="G74" s="10">
        <f t="shared" si="12"/>
        <v>18757.37</v>
      </c>
      <c r="H74" s="10">
        <f>SUM(H63:H73)</f>
        <v>27845.930398113389</v>
      </c>
      <c r="I74" s="10">
        <f t="shared" si="12"/>
        <v>39059.15171734109</v>
      </c>
    </row>
    <row r="75" spans="2:9">
      <c r="B75" s="21" t="s">
        <v>68</v>
      </c>
      <c r="C75" s="19">
        <f>'Consol. Historical FS'!C72</f>
        <v>354.86</v>
      </c>
      <c r="D75" s="19">
        <f>'Consol. Historical FS'!D72</f>
        <v>1898.48</v>
      </c>
      <c r="E75" s="19">
        <f>'Consol. Historical FS'!E72</f>
        <v>1941.26</v>
      </c>
      <c r="F75" s="19">
        <f>'Consol. Historical FS'!F72</f>
        <v>186.75</v>
      </c>
      <c r="G75" s="19">
        <f>'Consol. Historical FS'!G72</f>
        <v>186.75</v>
      </c>
      <c r="H75" s="19">
        <f>Scenarios!K271</f>
        <v>186.75</v>
      </c>
      <c r="I75" s="19">
        <f>Scenarios!L271</f>
        <v>186.75</v>
      </c>
    </row>
    <row r="76" spans="2:9">
      <c r="B76" s="12" t="s">
        <v>69</v>
      </c>
      <c r="C76" s="13">
        <f>SUM(C60,C74,C75)</f>
        <v>75323.78</v>
      </c>
      <c r="D76" s="13">
        <f t="shared" ref="D76:I76" si="13">SUM(D60,D74,D75)</f>
        <v>99685.820000000022</v>
      </c>
      <c r="E76" s="13">
        <f t="shared" si="13"/>
        <v>114905.12999999998</v>
      </c>
      <c r="F76" s="13">
        <f t="shared" si="13"/>
        <v>118917.87</v>
      </c>
      <c r="G76" s="13">
        <f t="shared" si="13"/>
        <v>135332.23000000001</v>
      </c>
      <c r="H76" s="13">
        <f>SUM(H60,H74,H75)</f>
        <v>141600.30789567204</v>
      </c>
      <c r="I76" s="13">
        <f t="shared" si="13"/>
        <v>165825.05371996341</v>
      </c>
    </row>
    <row r="77" spans="2:9">
      <c r="B77" s="4"/>
    </row>
    <row r="78" spans="2:9">
      <c r="B78" s="22" t="s">
        <v>70</v>
      </c>
    </row>
    <row r="79" spans="2:9">
      <c r="B79" s="4" t="s">
        <v>71</v>
      </c>
    </row>
    <row r="80" spans="2:9">
      <c r="B80" s="1" t="s">
        <v>72</v>
      </c>
      <c r="C80" s="19">
        <f>'Consol. Historical FS'!C77</f>
        <v>406.35</v>
      </c>
      <c r="D80" s="19">
        <f>'Consol. Historical FS'!D77</f>
        <v>422.47</v>
      </c>
      <c r="E80" s="19">
        <f>'Consol. Historical FS'!E77</f>
        <v>432.03</v>
      </c>
      <c r="F80" s="19">
        <f>'Consol. Historical FS'!F77</f>
        <v>432.03</v>
      </c>
      <c r="G80" s="19">
        <f>'Consol. Historical FS'!G77</f>
        <v>432.03</v>
      </c>
      <c r="H80" s="19">
        <f>G80</f>
        <v>432.03</v>
      </c>
      <c r="I80" s="19">
        <f t="shared" ref="I80" si="14">H80</f>
        <v>432.03</v>
      </c>
    </row>
    <row r="81" spans="2:12">
      <c r="B81" s="1" t="s">
        <v>73</v>
      </c>
      <c r="C81" s="19">
        <f>'Consol. Historical FS'!C78</f>
        <v>30221.91</v>
      </c>
      <c r="D81" s="19">
        <f>'Consol. Historical FS'!D78</f>
        <v>41565.75</v>
      </c>
      <c r="E81" s="19">
        <f>'Consol. Historical FS'!E78</f>
        <v>45151.55</v>
      </c>
      <c r="F81" s="19">
        <f>'Consol. Historical FS'!F78</f>
        <v>52512.74</v>
      </c>
      <c r="G81" s="19">
        <f>'Consol. Historical FS'!G78</f>
        <v>62003.360000000001</v>
      </c>
      <c r="H81" s="19">
        <f>H76-H80-H83-H96-H111-H112</f>
        <v>59606.480495672011</v>
      </c>
      <c r="I81" s="19">
        <f>I76-I80-I83-I96-I111-I112</f>
        <v>75510.352707163402</v>
      </c>
    </row>
    <row r="82" spans="2:12">
      <c r="B82" s="9" t="s">
        <v>74</v>
      </c>
      <c r="C82" s="10">
        <f>SUM(C80:C81)</f>
        <v>30628.26</v>
      </c>
      <c r="D82" s="10">
        <f t="shared" ref="D82:I82" si="15">SUM(D80:D81)</f>
        <v>41988.22</v>
      </c>
      <c r="E82" s="10">
        <f t="shared" si="15"/>
        <v>45583.58</v>
      </c>
      <c r="F82" s="10">
        <f t="shared" si="15"/>
        <v>52944.77</v>
      </c>
      <c r="G82" s="10">
        <f t="shared" si="15"/>
        <v>62435.39</v>
      </c>
      <c r="H82" s="10">
        <f>SUM(H80:H81)</f>
        <v>60038.51049567201</v>
      </c>
      <c r="I82" s="10">
        <f t="shared" si="15"/>
        <v>75942.3827071634</v>
      </c>
    </row>
    <row r="83" spans="2:12">
      <c r="B83" s="1" t="s">
        <v>75</v>
      </c>
      <c r="C83" s="19">
        <f>'Consol. Historical FS'!C80</f>
        <v>1468.47</v>
      </c>
      <c r="D83" s="19">
        <f>'Consol. Historical FS'!D80</f>
        <v>392.77</v>
      </c>
      <c r="E83" s="19">
        <f>'Consol. Historical FS'!E80</f>
        <v>1338.51</v>
      </c>
      <c r="F83" s="19">
        <f>'Consol. Historical FS'!F80</f>
        <v>1598.23</v>
      </c>
      <c r="G83" s="19">
        <f>'Consol. Historical FS'!G80</f>
        <v>2537.9499999999998</v>
      </c>
      <c r="H83" s="19">
        <f>G83</f>
        <v>2537.9499999999998</v>
      </c>
      <c r="I83" s="19">
        <f>H83</f>
        <v>2537.9499999999998</v>
      </c>
    </row>
    <row r="84" spans="2:12">
      <c r="B84" s="9" t="s">
        <v>76</v>
      </c>
      <c r="C84" s="10">
        <f t="shared" ref="C84:F84" si="16">SUM(C82:C83)</f>
        <v>32096.73</v>
      </c>
      <c r="D84" s="10">
        <f t="shared" si="16"/>
        <v>42380.99</v>
      </c>
      <c r="E84" s="10">
        <f t="shared" si="16"/>
        <v>46922.090000000004</v>
      </c>
      <c r="F84" s="10">
        <f t="shared" si="16"/>
        <v>54543</v>
      </c>
      <c r="G84" s="10">
        <f>SUM(G82:G83)</f>
        <v>64973.34</v>
      </c>
      <c r="H84" s="10">
        <f>SUM(H82:H83)</f>
        <v>62576.460495672007</v>
      </c>
      <c r="I84" s="10">
        <f>SUM(I82:I83)</f>
        <v>78480.332707163398</v>
      </c>
    </row>
    <row r="86" spans="2:12">
      <c r="B86" s="4" t="s">
        <v>77</v>
      </c>
    </row>
    <row r="87" spans="2:12">
      <c r="B87" s="1" t="s">
        <v>78</v>
      </c>
    </row>
    <row r="88" spans="2:12">
      <c r="B88" s="20" t="s">
        <v>79</v>
      </c>
      <c r="C88" s="19">
        <f>'Consol. Historical FS'!C85</f>
        <v>32935.53</v>
      </c>
      <c r="D88" s="19">
        <f>'Consol. Historical FS'!D85</f>
        <v>39691.480000000003</v>
      </c>
      <c r="E88" s="19">
        <f>'Consol. Historical FS'!E85</f>
        <v>46516.94</v>
      </c>
      <c r="F88" s="19">
        <f>'Consol. Historical FS'!F85</f>
        <v>37662.93</v>
      </c>
      <c r="G88" s="19">
        <f>'Consol. Historical FS'!G85</f>
        <v>35830.68</v>
      </c>
      <c r="H88" s="19">
        <f>'3 Model Projected FS'!G88/Scenarios!J$413*Scenarios!K$413</f>
        <v>39413.748</v>
      </c>
      <c r="I88" s="19">
        <f>'3 Model Projected FS'!H88/Scenarios!K413*Scenarios!L413</f>
        <v>43355.122800000005</v>
      </c>
      <c r="J88" s="174">
        <f>H19/((H88+H89+H100+H101)-H67)</f>
        <v>0.48584096246038516</v>
      </c>
      <c r="K88" s="174">
        <f>I19/((I88+I89+I100+I101)-I67)</f>
        <v>0.62984406305539531</v>
      </c>
      <c r="L88" s="19"/>
    </row>
    <row r="89" spans="2:12">
      <c r="B89" s="20" t="s">
        <v>80</v>
      </c>
      <c r="C89" s="19">
        <f>'Consol. Historical FS'!C86</f>
        <v>572.33000000000004</v>
      </c>
      <c r="D89" s="19">
        <f>'Consol. Historical FS'!D86</f>
        <v>1983.78</v>
      </c>
      <c r="E89" s="19">
        <f>'Consol. Historical FS'!E86</f>
        <v>2681.74</v>
      </c>
      <c r="F89" s="19">
        <f>'Consol. Historical FS'!F86</f>
        <v>2953.28</v>
      </c>
      <c r="G89" s="19">
        <f>'Consol. Historical FS'!G86</f>
        <v>5389.61</v>
      </c>
      <c r="H89" s="19">
        <f>'3 Model Projected FS'!G89/Scenarios!J$413*Scenarios!K$413</f>
        <v>5928.5709999999999</v>
      </c>
      <c r="I89" s="19">
        <f>'3 Model Projected FS'!H89/Scenarios!K$413*Scenarios!L$413</f>
        <v>6521.4281000000001</v>
      </c>
    </row>
    <row r="90" spans="2:12">
      <c r="B90" s="20" t="s">
        <v>81</v>
      </c>
      <c r="C90" s="19">
        <f>'Consol. Historical FS'!C87</f>
        <v>207.61</v>
      </c>
      <c r="D90" s="19">
        <f>'Consol. Historical FS'!D87</f>
        <v>227.56</v>
      </c>
      <c r="E90" s="19">
        <f>'Consol. Historical FS'!E87</f>
        <v>322.83999999999997</v>
      </c>
      <c r="F90" s="19">
        <f>'Consol. Historical FS'!F87</f>
        <v>360.11</v>
      </c>
      <c r="G90" s="19">
        <f>'Consol. Historical FS'!G87</f>
        <v>207.45</v>
      </c>
      <c r="H90" s="19">
        <f>Scenarios!K284</f>
        <v>2242.6799999999998</v>
      </c>
      <c r="I90" s="19">
        <f>Scenarios!L284</f>
        <v>2242.6799999999998</v>
      </c>
    </row>
    <row r="91" spans="2:12">
      <c r="B91" s="20" t="s">
        <v>82</v>
      </c>
      <c r="C91" s="19">
        <f>'Consol. Historical FS'!C88</f>
        <v>0</v>
      </c>
      <c r="D91" s="19">
        <f>'Consol. Historical FS'!D88</f>
        <v>0</v>
      </c>
      <c r="E91" s="19">
        <f>'Consol. Historical FS'!E88</f>
        <v>0</v>
      </c>
      <c r="F91" s="19">
        <f>'Consol. Historical FS'!F88</f>
        <v>0</v>
      </c>
      <c r="G91" s="19">
        <f>'Consol. Historical FS'!G88</f>
        <v>0</v>
      </c>
      <c r="H91" s="19">
        <f>Scenarios!K285</f>
        <v>0</v>
      </c>
      <c r="I91" s="19">
        <f>Scenarios!L285</f>
        <v>0</v>
      </c>
    </row>
    <row r="92" spans="2:12">
      <c r="B92" s="23" t="s">
        <v>83</v>
      </c>
      <c r="C92" s="19">
        <f>'Consol. Historical FS'!C89</f>
        <v>1065.79</v>
      </c>
      <c r="D92" s="19">
        <f>'Consol. Historical FS'!D89</f>
        <v>988.21</v>
      </c>
      <c r="E92" s="19">
        <f>'Consol. Historical FS'!E89</f>
        <v>1148.8399999999999</v>
      </c>
      <c r="F92" s="19">
        <f>'Consol. Historical FS'!F89</f>
        <v>1664.99</v>
      </c>
      <c r="G92" s="19">
        <f>'Consol. Historical FS'!G89</f>
        <v>2142.54</v>
      </c>
      <c r="H92" s="19">
        <f>Scenarios!K286</f>
        <v>2142.54</v>
      </c>
      <c r="I92" s="19">
        <f>Scenarios!L286</f>
        <v>2142.54</v>
      </c>
    </row>
    <row r="93" spans="2:12">
      <c r="B93" s="23" t="s">
        <v>84</v>
      </c>
      <c r="C93" s="19">
        <f>'Consol. Historical FS'!C90</f>
        <v>26.68</v>
      </c>
      <c r="D93" s="19">
        <f>'Consol. Historical FS'!D90</f>
        <v>34.229999999999997</v>
      </c>
      <c r="E93" s="19">
        <f>'Consol. Historical FS'!E90</f>
        <v>1201.75</v>
      </c>
      <c r="F93" s="19">
        <f>'Consol. Historical FS'!F90</f>
        <v>1100.75</v>
      </c>
      <c r="G93" s="19">
        <f>'Consol. Historical FS'!G90</f>
        <v>1149.3599999999999</v>
      </c>
      <c r="H93" s="19">
        <f>Scenarios!K287</f>
        <v>1149.3599999999999</v>
      </c>
      <c r="I93" s="19">
        <f>Scenarios!L287</f>
        <v>1149.3599999999999</v>
      </c>
    </row>
    <row r="94" spans="2:12">
      <c r="B94" s="23" t="s">
        <v>85</v>
      </c>
      <c r="C94" s="19">
        <f>'Consol. Historical FS'!C91</f>
        <v>0</v>
      </c>
      <c r="D94" s="19">
        <f>'Consol. Historical FS'!D91</f>
        <v>0</v>
      </c>
      <c r="E94" s="19">
        <f>'Consol. Historical FS'!E91</f>
        <v>0</v>
      </c>
      <c r="F94" s="19">
        <f>'Consol. Historical FS'!F91</f>
        <v>0</v>
      </c>
      <c r="G94" s="19">
        <f>'Consol. Historical FS'!G91</f>
        <v>0</v>
      </c>
      <c r="H94" s="19">
        <f>Scenarios!K288</f>
        <v>0</v>
      </c>
      <c r="I94" s="19">
        <f>Scenarios!L288</f>
        <v>0</v>
      </c>
    </row>
    <row r="95" spans="2:12">
      <c r="B95" s="1" t="s">
        <v>86</v>
      </c>
      <c r="C95" s="19">
        <f>'Consol. Historical FS'!C92</f>
        <v>1203.1600000000001</v>
      </c>
      <c r="D95" s="19">
        <f>'Consol. Historical FS'!D92</f>
        <v>3010.86</v>
      </c>
      <c r="E95" s="19">
        <f>'Consol. Historical FS'!E92</f>
        <v>3186.37</v>
      </c>
      <c r="F95" s="19">
        <f>'Consol. Historical FS'!F92</f>
        <v>4169.87</v>
      </c>
      <c r="G95" s="19">
        <f>'Consol. Historical FS'!G92</f>
        <v>4653.26</v>
      </c>
      <c r="H95" s="19">
        <f>Scenarios!K289</f>
        <v>4653.26</v>
      </c>
      <c r="I95" s="19">
        <f>Scenarios!L289</f>
        <v>4653.26</v>
      </c>
    </row>
    <row r="96" spans="2:12">
      <c r="B96" s="9" t="s">
        <v>87</v>
      </c>
      <c r="C96" s="10">
        <f>SUM(C88:C95)</f>
        <v>36011.100000000006</v>
      </c>
      <c r="D96" s="10">
        <f t="shared" ref="D96:I96" si="17">SUM(D88:D95)</f>
        <v>45936.12</v>
      </c>
      <c r="E96" s="10">
        <f t="shared" si="17"/>
        <v>55058.479999999996</v>
      </c>
      <c r="F96" s="10">
        <f t="shared" si="17"/>
        <v>47911.93</v>
      </c>
      <c r="G96" s="10">
        <f t="shared" si="17"/>
        <v>49372.9</v>
      </c>
      <c r="H96" s="10">
        <f>SUM(H88:H95)</f>
        <v>55530.159000000007</v>
      </c>
      <c r="I96" s="10">
        <f t="shared" si="17"/>
        <v>60064.390900000006</v>
      </c>
    </row>
    <row r="97" spans="2:9">
      <c r="B97" s="4"/>
    </row>
    <row r="98" spans="2:9">
      <c r="B98" s="4" t="s">
        <v>88</v>
      </c>
    </row>
    <row r="99" spans="2:9">
      <c r="B99" s="1" t="s">
        <v>89</v>
      </c>
    </row>
    <row r="100" spans="2:9">
      <c r="B100" s="20" t="s">
        <v>79</v>
      </c>
      <c r="C100" s="19">
        <f>'Consol. Historical FS'!C97</f>
        <v>400</v>
      </c>
      <c r="D100" s="19">
        <f>'Consol. Historical FS'!D97</f>
        <v>5761.56</v>
      </c>
      <c r="E100" s="19">
        <f>'Consol. Historical FS'!E97</f>
        <v>3302.37</v>
      </c>
      <c r="F100" s="19">
        <f>'Consol. Historical FS'!F97</f>
        <v>8616.2999999999993</v>
      </c>
      <c r="G100" s="19">
        <f>'Consol. Historical FS'!G97</f>
        <v>9979.35</v>
      </c>
      <c r="H100" s="19">
        <f>G100/Scenarios!J$407*Scenarios!K$407</f>
        <v>12374.394</v>
      </c>
      <c r="I100" s="19">
        <f>H100/Scenarios!K$407*Scenarios!L$407</f>
        <v>15368.997347999999</v>
      </c>
    </row>
    <row r="101" spans="2:9">
      <c r="B101" s="20" t="s">
        <v>80</v>
      </c>
      <c r="C101" s="19">
        <f>'Consol. Historical FS'!C98</f>
        <v>32.26</v>
      </c>
      <c r="D101" s="19">
        <f>'Consol. Historical FS'!D98</f>
        <v>32.159999999999997</v>
      </c>
      <c r="E101" s="19">
        <f>'Consol. Historical FS'!E98</f>
        <v>61.97</v>
      </c>
      <c r="F101" s="19">
        <f>'Consol. Historical FS'!F98</f>
        <v>71.2</v>
      </c>
      <c r="G101" s="19">
        <f>'Consol. Historical FS'!G98</f>
        <v>254.56</v>
      </c>
      <c r="H101" s="19">
        <f>G101/Scenarios!J$407*Scenarios!K$407</f>
        <v>315.65440000000001</v>
      </c>
      <c r="I101" s="19">
        <f>H101/Scenarios!K$407*Scenarios!L$407</f>
        <v>392.04276480000004</v>
      </c>
    </row>
    <row r="102" spans="2:9">
      <c r="B102" s="20" t="s">
        <v>90</v>
      </c>
      <c r="C102" s="19"/>
      <c r="D102" s="19"/>
      <c r="E102" s="19"/>
      <c r="F102" s="19"/>
      <c r="G102" s="19"/>
      <c r="H102" s="19"/>
      <c r="I102" s="19"/>
    </row>
    <row r="103" spans="2:9">
      <c r="B103" s="24" t="s">
        <v>91</v>
      </c>
      <c r="C103" s="19">
        <f>'Consol. Historical FS'!C100</f>
        <v>11.5</v>
      </c>
      <c r="D103" s="19">
        <f>'Consol. Historical FS'!D100</f>
        <v>41.86</v>
      </c>
      <c r="E103" s="19">
        <f>'Consol. Historical FS'!E100</f>
        <v>98.88</v>
      </c>
      <c r="F103" s="19">
        <f>'Consol. Historical FS'!F100</f>
        <v>152.5</v>
      </c>
      <c r="G103" s="19">
        <f>'Consol. Historical FS'!G100</f>
        <v>166.73</v>
      </c>
      <c r="H103" s="19">
        <f>ROUND(SUM(H13:H13)/(365/Scenarios!K318),2)</f>
        <v>192.12</v>
      </c>
      <c r="I103" s="19">
        <f>ROUND(SUM(I13:I13)/(365/Scenarios!L318),2)</f>
        <v>252.73</v>
      </c>
    </row>
    <row r="104" spans="2:9" ht="30.75">
      <c r="B104" s="24" t="s">
        <v>92</v>
      </c>
      <c r="C104" s="19">
        <f>'Consol. Historical FS'!C101</f>
        <v>1002.35</v>
      </c>
      <c r="D104" s="19">
        <f>'Consol. Historical FS'!D101</f>
        <v>1117.71</v>
      </c>
      <c r="E104" s="19">
        <f>'Consol. Historical FS'!E101</f>
        <v>1729.35</v>
      </c>
      <c r="F104" s="19">
        <f>'Consol. Historical FS'!F101</f>
        <v>1759.6</v>
      </c>
      <c r="G104" s="19">
        <f>'Consol. Historical FS'!G101</f>
        <v>2553.77</v>
      </c>
      <c r="H104" s="19">
        <f>ROUND(SUM(H13:H13)/(365/Scenarios!K324),2)</f>
        <v>2579.94</v>
      </c>
      <c r="I104" s="19">
        <f>ROUND(SUM(I13:I13)/(365/Scenarios!L324),2)</f>
        <v>3234.98</v>
      </c>
    </row>
    <row r="105" spans="2:9">
      <c r="B105" s="20" t="s">
        <v>93</v>
      </c>
      <c r="C105" s="19">
        <f>'Consol. Historical FS'!C102</f>
        <v>3260.08</v>
      </c>
      <c r="D105" s="19">
        <f>'Consol. Historical FS'!D102</f>
        <v>2253.75</v>
      </c>
      <c r="E105" s="19">
        <f>'Consol. Historical FS'!E102</f>
        <v>3319.88</v>
      </c>
      <c r="F105" s="19">
        <f>'Consol. Historical FS'!F102</f>
        <v>3756.8</v>
      </c>
      <c r="G105" s="19">
        <f>'Consol. Historical FS'!G102</f>
        <v>5359.74</v>
      </c>
      <c r="H105" s="19">
        <f>Scenarios!K293</f>
        <v>5359.74</v>
      </c>
      <c r="I105" s="19">
        <f>Scenarios!L293</f>
        <v>5359.74</v>
      </c>
    </row>
    <row r="106" spans="2:9">
      <c r="B106" s="20" t="s">
        <v>94</v>
      </c>
      <c r="C106" s="19">
        <f>'Consol. Historical FS'!C103</f>
        <v>0</v>
      </c>
      <c r="D106" s="19">
        <f>'Consol. Historical FS'!D103</f>
        <v>0</v>
      </c>
      <c r="E106" s="19">
        <f>'Consol. Historical FS'!E103</f>
        <v>0</v>
      </c>
      <c r="F106" s="19">
        <f>'Consol. Historical FS'!F103</f>
        <v>0</v>
      </c>
      <c r="G106" s="19">
        <f>'Consol. Historical FS'!G103</f>
        <v>0</v>
      </c>
      <c r="H106" s="19">
        <f>Scenarios!K294</f>
        <v>0</v>
      </c>
      <c r="I106" s="19">
        <f>Scenarios!L294</f>
        <v>0</v>
      </c>
    </row>
    <row r="107" spans="2:9">
      <c r="B107" s="23" t="s">
        <v>95</v>
      </c>
      <c r="C107" s="19">
        <f>'Consol. Historical FS'!C104</f>
        <v>2261</v>
      </c>
      <c r="D107" s="19">
        <f>'Consol. Historical FS'!D104</f>
        <v>1654.87</v>
      </c>
      <c r="E107" s="19">
        <f>'Consol. Historical FS'!E104</f>
        <v>1814.19</v>
      </c>
      <c r="F107" s="19">
        <f>'Consol. Historical FS'!F104</f>
        <v>1832.45</v>
      </c>
      <c r="G107" s="19">
        <f>'Consol. Historical FS'!G104</f>
        <v>2242.6799999999998</v>
      </c>
      <c r="H107" s="19">
        <f>Scenarios!K295</f>
        <v>2242.6799999999998</v>
      </c>
      <c r="I107" s="19">
        <f>Scenarios!L295</f>
        <v>2242.6799999999998</v>
      </c>
    </row>
    <row r="108" spans="2:9">
      <c r="B108" s="23" t="s">
        <v>84</v>
      </c>
      <c r="C108" s="19">
        <f>'Consol. Historical FS'!C105</f>
        <v>95.73</v>
      </c>
      <c r="D108" s="19">
        <f>'Consol. Historical FS'!D105</f>
        <v>107.52</v>
      </c>
      <c r="E108" s="19">
        <f>'Consol. Historical FS'!E105</f>
        <v>548.03</v>
      </c>
      <c r="F108" s="19">
        <f>'Consol. Historical FS'!F105</f>
        <v>193.44</v>
      </c>
      <c r="G108" s="19">
        <f>'Consol. Historical FS'!G105</f>
        <v>236.77</v>
      </c>
      <c r="H108" s="19">
        <f>Scenarios!K296</f>
        <v>236.77</v>
      </c>
      <c r="I108" s="19">
        <f>Scenarios!L296</f>
        <v>236.77</v>
      </c>
    </row>
    <row r="109" spans="2:9">
      <c r="B109" s="23" t="s">
        <v>85</v>
      </c>
      <c r="C109" s="19">
        <f>'Consol. Historical FS'!C106</f>
        <v>0</v>
      </c>
      <c r="D109" s="19">
        <f>'Consol. Historical FS'!D106</f>
        <v>0</v>
      </c>
      <c r="E109" s="19">
        <f>'Consol. Historical FS'!E106</f>
        <v>0</v>
      </c>
      <c r="F109" s="19">
        <f>'Consol. Historical FS'!F106</f>
        <v>0</v>
      </c>
      <c r="G109" s="19">
        <f>'Consol. Historical FS'!G106</f>
        <v>0</v>
      </c>
      <c r="H109" s="19">
        <f>Scenarios!K297</f>
        <v>0</v>
      </c>
      <c r="I109" s="19">
        <f>Scenarios!L297</f>
        <v>0</v>
      </c>
    </row>
    <row r="110" spans="2:9">
      <c r="B110" s="1" t="s">
        <v>96</v>
      </c>
      <c r="C110" s="19">
        <f>'Consol. Historical FS'!C107</f>
        <v>38.49</v>
      </c>
      <c r="D110" s="19">
        <f>'Consol. Historical FS'!D107</f>
        <v>93.92</v>
      </c>
      <c r="E110" s="19">
        <f>'Consol. Historical FS'!E107</f>
        <v>528.42999999999995</v>
      </c>
      <c r="F110" s="19">
        <f>'Consol. Historical FS'!F107</f>
        <v>33.1</v>
      </c>
      <c r="G110" s="19">
        <f>'Consol. Historical FS'!G107</f>
        <v>144.84</v>
      </c>
      <c r="H110" s="19">
        <f>Scenarios!K298</f>
        <v>144.84</v>
      </c>
      <c r="I110" s="19">
        <f>Scenarios!L298</f>
        <v>144.84</v>
      </c>
    </row>
    <row r="111" spans="2:9">
      <c r="B111" s="9" t="s">
        <v>97</v>
      </c>
      <c r="C111" s="10">
        <f>SUM(C100:C110)</f>
        <v>7101.41</v>
      </c>
      <c r="D111" s="10">
        <f t="shared" ref="D111:I111" si="18">SUM(D100:D110)</f>
        <v>11063.35</v>
      </c>
      <c r="E111" s="10">
        <f t="shared" si="18"/>
        <v>11403.100000000002</v>
      </c>
      <c r="F111" s="10">
        <f t="shared" si="18"/>
        <v>16415.390000000003</v>
      </c>
      <c r="G111" s="10">
        <f t="shared" si="18"/>
        <v>20938.440000000002</v>
      </c>
      <c r="H111" s="10">
        <f>SUM(H100:H110)</f>
        <v>23446.138400000003</v>
      </c>
      <c r="I111" s="10">
        <f t="shared" si="18"/>
        <v>27232.780112799999</v>
      </c>
    </row>
    <row r="112" spans="2:9">
      <c r="B112" s="21" t="s">
        <v>68</v>
      </c>
      <c r="C112" s="19">
        <f>'Consol. Historical FS'!C109</f>
        <v>114.54</v>
      </c>
      <c r="D112" s="19">
        <f>'Consol. Historical FS'!D109</f>
        <v>305.36</v>
      </c>
      <c r="E112" s="19">
        <f>'Consol. Historical FS'!E109</f>
        <v>1521.46</v>
      </c>
      <c r="F112" s="19">
        <f>'Consol. Historical FS'!F109</f>
        <v>47.55</v>
      </c>
      <c r="G112" s="19">
        <f>'Consol. Historical FS'!G109</f>
        <v>47.55</v>
      </c>
      <c r="H112" s="19">
        <f>Scenarios!K299</f>
        <v>47.55</v>
      </c>
      <c r="I112" s="19">
        <f>Scenarios!L299</f>
        <v>47.55</v>
      </c>
    </row>
    <row r="113" spans="1:9">
      <c r="B113" s="12" t="s">
        <v>98</v>
      </c>
      <c r="C113" s="13">
        <f>SUM(C84,C96,C111,C112)</f>
        <v>75323.78</v>
      </c>
      <c r="D113" s="13">
        <f t="shared" ref="D113:I113" si="19">SUM(D84,D96,D111,D112)</f>
        <v>99685.82</v>
      </c>
      <c r="E113" s="13">
        <f t="shared" si="19"/>
        <v>114905.13000000002</v>
      </c>
      <c r="F113" s="13">
        <f t="shared" si="19"/>
        <v>118917.87</v>
      </c>
      <c r="G113" s="13">
        <f t="shared" si="19"/>
        <v>135332.22999999998</v>
      </c>
      <c r="H113" s="13">
        <f>SUM(H84,H96,H111,H112)</f>
        <v>141600.30789567201</v>
      </c>
      <c r="I113" s="13">
        <f t="shared" si="19"/>
        <v>165825.05371996341</v>
      </c>
    </row>
    <row r="115" spans="1:9">
      <c r="B115" s="25" t="s">
        <v>99</v>
      </c>
      <c r="C115" s="26">
        <f t="shared" ref="C115:F115" si="20">C76-C113</f>
        <v>0</v>
      </c>
      <c r="D115" s="26">
        <f t="shared" si="20"/>
        <v>0</v>
      </c>
      <c r="E115" s="26">
        <f t="shared" si="20"/>
        <v>0</v>
      </c>
      <c r="F115" s="26">
        <f t="shared" si="20"/>
        <v>0</v>
      </c>
      <c r="G115" s="26">
        <f>G76-G113</f>
        <v>0</v>
      </c>
      <c r="H115" s="168">
        <f>H76-H113</f>
        <v>0</v>
      </c>
      <c r="I115" s="168">
        <f t="shared" ref="I115" si="21">I76-I113</f>
        <v>0</v>
      </c>
    </row>
    <row r="117" spans="1:9">
      <c r="A117" s="81" t="s">
        <v>8</v>
      </c>
      <c r="B117" s="81" t="s">
        <v>100</v>
      </c>
      <c r="C117" s="82"/>
      <c r="D117" s="82"/>
      <c r="E117" s="82"/>
      <c r="F117" s="82"/>
      <c r="G117" s="82"/>
      <c r="H117" s="82"/>
      <c r="I117" s="82"/>
    </row>
    <row r="118" spans="1:9">
      <c r="G118" s="169"/>
    </row>
    <row r="119" spans="1:9">
      <c r="B119" s="18" t="s">
        <v>101</v>
      </c>
    </row>
    <row r="120" spans="1:9">
      <c r="B120" s="4" t="s">
        <v>102</v>
      </c>
      <c r="C120" s="77"/>
      <c r="D120" s="77"/>
      <c r="E120" s="77"/>
      <c r="F120" s="77"/>
      <c r="G120" s="77"/>
    </row>
    <row r="121" spans="1:9">
      <c r="B121" s="1" t="s">
        <v>103</v>
      </c>
      <c r="C121" s="19">
        <f>'Consol. Historical FS'!C118</f>
        <v>6292.01</v>
      </c>
      <c r="D121" s="19">
        <f>'Consol. Historical FS'!D118</f>
        <v>5717.14</v>
      </c>
      <c r="E121" s="19">
        <f>'Consol. Historical FS'!E118</f>
        <v>5489.13</v>
      </c>
      <c r="F121" s="19">
        <f>'Consol. Historical FS'!F118</f>
        <v>10093.73</v>
      </c>
      <c r="G121" s="19">
        <f>'Consol. Historical FS'!G118</f>
        <v>13029.62</v>
      </c>
      <c r="H121" s="77">
        <f>H29</f>
        <v>16619.86</v>
      </c>
      <c r="I121" s="77">
        <f t="shared" ref="I121" si="22">I29</f>
        <v>21445.7</v>
      </c>
    </row>
    <row r="122" spans="1:9">
      <c r="B122" s="1" t="s">
        <v>104</v>
      </c>
      <c r="C122" s="19">
        <f>'Consol. Historical FS'!C119</f>
        <v>0</v>
      </c>
      <c r="D122" s="19">
        <f>'Consol. Historical FS'!D119</f>
        <v>0</v>
      </c>
      <c r="E122" s="19">
        <f>'Consol. Historical FS'!E119</f>
        <v>0</v>
      </c>
      <c r="F122" s="19">
        <f>'Consol. Historical FS'!F119</f>
        <v>0</v>
      </c>
      <c r="G122" s="19">
        <f>'Consol. Historical FS'!G119</f>
        <v>0</v>
      </c>
      <c r="H122" s="77">
        <f>H33</f>
        <v>0</v>
      </c>
      <c r="I122" s="77">
        <f>I33</f>
        <v>0</v>
      </c>
    </row>
    <row r="123" spans="1:9">
      <c r="B123" s="1" t="s">
        <v>105</v>
      </c>
      <c r="C123" s="19"/>
      <c r="D123" s="19"/>
      <c r="E123" s="19"/>
      <c r="F123" s="19"/>
      <c r="G123" s="19"/>
    </row>
    <row r="124" spans="1:9">
      <c r="B124" s="29" t="s">
        <v>19</v>
      </c>
      <c r="C124" s="19">
        <f>'Consol. Historical FS'!C121</f>
        <v>2109.06</v>
      </c>
      <c r="D124" s="19">
        <f>'Consol. Historical FS'!D121</f>
        <v>3101.02</v>
      </c>
      <c r="E124" s="19">
        <f>'Consol. Historical FS'!E121</f>
        <v>3424.9599999999996</v>
      </c>
      <c r="F124" s="19">
        <f>'Consol. Historical FS'!F121</f>
        <v>3890.18</v>
      </c>
      <c r="G124" s="19">
        <f>'Consol. Historical FS'!G121</f>
        <v>4381.6000000000004</v>
      </c>
      <c r="H124" s="19">
        <f>H21</f>
        <v>5229.0036928999116</v>
      </c>
      <c r="I124" s="19">
        <f t="shared" ref="I124" si="23">I21</f>
        <v>5925.2319261248895</v>
      </c>
    </row>
    <row r="125" spans="1:9">
      <c r="B125" s="29" t="s">
        <v>106</v>
      </c>
      <c r="C125" s="19">
        <f>'Consol. Historical FS'!C122</f>
        <v>0</v>
      </c>
      <c r="D125" s="19">
        <f>'Consol. Historical FS'!D122</f>
        <v>405.19</v>
      </c>
      <c r="E125" s="19">
        <f>'Consol. Historical FS'!E122</f>
        <v>1273.3800000000001</v>
      </c>
      <c r="F125" s="19">
        <f>'Consol. Historical FS'!F122</f>
        <v>373.7</v>
      </c>
      <c r="G125" s="19">
        <f>'Consol. Historical FS'!G122</f>
        <v>249.46</v>
      </c>
      <c r="H125" s="19">
        <f>H28</f>
        <v>-37.799999999999997</v>
      </c>
      <c r="I125" s="19">
        <f t="shared" ref="I125" si="24">I28</f>
        <v>-46.95</v>
      </c>
    </row>
    <row r="126" spans="1:9">
      <c r="B126" s="29" t="s">
        <v>107</v>
      </c>
      <c r="C126" s="19">
        <f>'Consol. Historical FS'!C123</f>
        <v>0</v>
      </c>
      <c r="D126" s="19">
        <f>'Consol. Historical FS'!D123</f>
        <v>0</v>
      </c>
      <c r="E126" s="19">
        <f>'Consol. Historical FS'!E123</f>
        <v>0</v>
      </c>
      <c r="F126" s="19">
        <f>'Consol. Historical FS'!F123</f>
        <v>0</v>
      </c>
      <c r="G126" s="19">
        <f>'Consol. Historical FS'!G123</f>
        <v>0</v>
      </c>
      <c r="H126" s="19">
        <f>G126</f>
        <v>0</v>
      </c>
      <c r="I126" s="19">
        <f>H126</f>
        <v>0</v>
      </c>
    </row>
    <row r="127" spans="1:9">
      <c r="B127" s="29" t="s">
        <v>108</v>
      </c>
      <c r="C127" s="19">
        <f>'Consol. Historical FS'!C124</f>
        <v>0</v>
      </c>
      <c r="D127" s="19">
        <f>'Consol. Historical FS'!D124</f>
        <v>0</v>
      </c>
      <c r="E127" s="19">
        <f>'Consol. Historical FS'!E124</f>
        <v>0</v>
      </c>
      <c r="F127" s="19">
        <f>'Consol. Historical FS'!F124</f>
        <v>0</v>
      </c>
      <c r="G127" s="19">
        <f>'Consol. Historical FS'!G124</f>
        <v>0</v>
      </c>
      <c r="H127" s="19">
        <f>Scenarios!K332</f>
        <v>0</v>
      </c>
      <c r="I127" s="19">
        <f>Scenarios!L332</f>
        <v>0</v>
      </c>
    </row>
    <row r="128" spans="1:9">
      <c r="B128" s="29" t="s">
        <v>109</v>
      </c>
      <c r="C128" s="19">
        <f>'Consol. Historical FS'!C125</f>
        <v>-88.73</v>
      </c>
      <c r="D128" s="19">
        <f>'Consol. Historical FS'!D125</f>
        <v>3.52</v>
      </c>
      <c r="E128" s="19">
        <f>'Consol. Historical FS'!E125</f>
        <v>-60.32</v>
      </c>
      <c r="F128" s="19">
        <f>'Consol. Historical FS'!F125</f>
        <v>-8.89</v>
      </c>
      <c r="G128" s="19">
        <f>'Consol. Historical FS'!G125</f>
        <v>-8.36</v>
      </c>
      <c r="H128" s="19">
        <f>Scenarios!K333</f>
        <v>0</v>
      </c>
      <c r="I128" s="19">
        <f>Scenarios!L333</f>
        <v>0</v>
      </c>
    </row>
    <row r="129" spans="2:9">
      <c r="B129" s="29" t="s">
        <v>181</v>
      </c>
      <c r="C129" s="19">
        <f>'Consol. Historical FS'!C126</f>
        <v>-73.81</v>
      </c>
      <c r="D129" s="19">
        <f>'Consol. Historical FS'!D126</f>
        <v>-80.400000000000006</v>
      </c>
      <c r="E129" s="19">
        <f>'Consol. Historical FS'!E126</f>
        <v>-80.900000000000006</v>
      </c>
      <c r="F129" s="19">
        <f>'Consol. Historical FS'!F126</f>
        <v>-89.509999999999991</v>
      </c>
      <c r="G129" s="19">
        <f>'Consol. Historical FS'!G126</f>
        <v>-699.28</v>
      </c>
      <c r="H129" s="19">
        <f>Scenarios!K334</f>
        <v>0</v>
      </c>
      <c r="I129" s="19">
        <f>Scenarios!L334</f>
        <v>0</v>
      </c>
    </row>
    <row r="130" spans="2:9">
      <c r="B130" s="29" t="s">
        <v>111</v>
      </c>
      <c r="C130" s="19">
        <f>'Consol. Historical FS'!C127</f>
        <v>0</v>
      </c>
      <c r="D130" s="19">
        <f>'Consol. Historical FS'!D127</f>
        <v>0</v>
      </c>
      <c r="E130" s="19">
        <f>'Consol. Historical FS'!E127</f>
        <v>0</v>
      </c>
      <c r="F130" s="19">
        <f>'Consol. Historical FS'!F127</f>
        <v>0</v>
      </c>
      <c r="G130" s="19">
        <f>'Consol. Historical FS'!G127</f>
        <v>0</v>
      </c>
      <c r="H130" s="19">
        <f>Scenarios!K335</f>
        <v>0</v>
      </c>
      <c r="I130" s="19">
        <f>Scenarios!L335</f>
        <v>0</v>
      </c>
    </row>
    <row r="131" spans="2:9">
      <c r="B131" s="29" t="s">
        <v>112</v>
      </c>
      <c r="C131" s="19">
        <f>'Consol. Historical FS'!C128</f>
        <v>-729.14</v>
      </c>
      <c r="D131" s="19">
        <f>'Consol. Historical FS'!D128</f>
        <v>917.91</v>
      </c>
      <c r="E131" s="19">
        <f>'Consol. Historical FS'!E128</f>
        <v>2527.7600000000002</v>
      </c>
      <c r="F131" s="19">
        <f>'Consol. Historical FS'!F128</f>
        <v>328.79</v>
      </c>
      <c r="G131" s="19">
        <f>'Consol. Historical FS'!G128</f>
        <v>719.33</v>
      </c>
      <c r="H131" s="19">
        <f>Scenarios!K336</f>
        <v>0</v>
      </c>
      <c r="I131" s="19">
        <f>Scenarios!L336</f>
        <v>0</v>
      </c>
    </row>
    <row r="132" spans="2:9">
      <c r="B132" s="29" t="s">
        <v>113</v>
      </c>
      <c r="C132" s="19">
        <f>'Consol. Historical FS'!C129</f>
        <v>-1760.88</v>
      </c>
      <c r="D132" s="19">
        <f>'Consol. Historical FS'!D129</f>
        <v>-1945.0900000000001</v>
      </c>
      <c r="E132" s="19">
        <f>'Consol. Historical FS'!E129</f>
        <v>-1252.81</v>
      </c>
      <c r="F132" s="19">
        <f>'Consol. Historical FS'!F129</f>
        <v>-925.51</v>
      </c>
      <c r="G132" s="19">
        <f>'Consol. Historical FS'!G129</f>
        <v>-936.43000000000006</v>
      </c>
      <c r="H132" s="19">
        <f>Scenarios!K337</f>
        <v>-112.67</v>
      </c>
      <c r="I132" s="19">
        <f>Scenarios!L337</f>
        <v>-157.66999999999999</v>
      </c>
    </row>
    <row r="133" spans="2:9">
      <c r="B133" s="29" t="s">
        <v>21</v>
      </c>
      <c r="C133" s="19">
        <f>'Consol. Historical FS'!C130</f>
        <v>2255.29</v>
      </c>
      <c r="D133" s="19">
        <f>'Consol. Historical FS'!D130</f>
        <v>2556.4500000000003</v>
      </c>
      <c r="E133" s="19">
        <f>'Consol. Historical FS'!E130</f>
        <v>2355.15</v>
      </c>
      <c r="F133" s="19">
        <f>'Consol. Historical FS'!F130</f>
        <v>2784.41</v>
      </c>
      <c r="G133" s="19">
        <f>'Consol. Historical FS'!G130</f>
        <v>2778</v>
      </c>
      <c r="H133" s="19">
        <f>H23</f>
        <v>3063.5021999999999</v>
      </c>
      <c r="I133" s="19">
        <f t="shared" ref="I133" si="25">I23</f>
        <v>3706.8376619999999</v>
      </c>
    </row>
    <row r="134" spans="2:9">
      <c r="B134" s="29" t="s">
        <v>114</v>
      </c>
      <c r="C134" s="19">
        <f>'Consol. Historical FS'!C131</f>
        <v>-5.38</v>
      </c>
      <c r="D134" s="19">
        <f>'Consol. Historical FS'!D131</f>
        <v>-20.47</v>
      </c>
      <c r="E134" s="19">
        <f>'Consol. Historical FS'!E131</f>
        <v>-20.85</v>
      </c>
      <c r="F134" s="19">
        <f>'Consol. Historical FS'!F131</f>
        <v>-99.12</v>
      </c>
      <c r="G134" s="19">
        <f>'Consol. Historical FS'!G131</f>
        <v>-43.52</v>
      </c>
      <c r="H134" s="19">
        <f>Scenarios!K338</f>
        <v>0</v>
      </c>
      <c r="I134" s="19">
        <f>Scenarios!L338</f>
        <v>0</v>
      </c>
    </row>
    <row r="135" spans="2:9">
      <c r="B135" s="29" t="s">
        <v>115</v>
      </c>
      <c r="C135" s="19">
        <f>'Consol. Historical FS'!C132</f>
        <v>0</v>
      </c>
      <c r="D135" s="19">
        <f>'Consol. Historical FS'!D132</f>
        <v>0</v>
      </c>
      <c r="E135" s="19">
        <f>'Consol. Historical FS'!E132</f>
        <v>0</v>
      </c>
      <c r="F135" s="19">
        <f>'Consol. Historical FS'!F132</f>
        <v>0</v>
      </c>
      <c r="G135" s="19">
        <f>'Consol. Historical FS'!G132</f>
        <v>0</v>
      </c>
      <c r="H135" s="19">
        <f>Scenarios!K339</f>
        <v>0</v>
      </c>
      <c r="I135" s="19">
        <f>Scenarios!L339</f>
        <v>0</v>
      </c>
    </row>
    <row r="136" spans="2:9">
      <c r="B136" s="29" t="s">
        <v>85</v>
      </c>
      <c r="C136" s="19">
        <f>'Consol. Historical FS'!C133</f>
        <v>-12.95</v>
      </c>
      <c r="D136" s="19">
        <f>'Consol. Historical FS'!D133</f>
        <v>-14.23</v>
      </c>
      <c r="E136" s="19">
        <f>'Consol. Historical FS'!E133</f>
        <v>-16.34</v>
      </c>
      <c r="F136" s="19">
        <f>'Consol. Historical FS'!F133</f>
        <v>-20.61</v>
      </c>
      <c r="G136" s="19">
        <f>'Consol. Historical FS'!G133</f>
        <v>-23.82</v>
      </c>
      <c r="H136" s="19">
        <f>Scenarios!K340</f>
        <v>0</v>
      </c>
      <c r="I136" s="19">
        <f>Scenarios!L340</f>
        <v>0</v>
      </c>
    </row>
    <row r="137" spans="2:9">
      <c r="B137" s="29" t="s">
        <v>116</v>
      </c>
      <c r="C137" s="19">
        <f>'Consol. Historical FS'!C134</f>
        <v>0</v>
      </c>
      <c r="D137" s="19">
        <f>'Consol. Historical FS'!D134</f>
        <v>0</v>
      </c>
      <c r="E137" s="19">
        <f>'Consol. Historical FS'!E134</f>
        <v>0</v>
      </c>
      <c r="F137" s="19">
        <f>'Consol. Historical FS'!F134</f>
        <v>0</v>
      </c>
      <c r="G137" s="19">
        <f>'Consol. Historical FS'!G134</f>
        <v>0</v>
      </c>
      <c r="H137" s="19">
        <f>H17</f>
        <v>0</v>
      </c>
      <c r="I137" s="19">
        <f t="shared" ref="I137" si="26">I17</f>
        <v>0</v>
      </c>
    </row>
    <row r="138" spans="2:9">
      <c r="B138" s="29" t="s">
        <v>117</v>
      </c>
      <c r="C138" s="19">
        <f>'Consol. Historical FS'!C135</f>
        <v>0</v>
      </c>
      <c r="D138" s="19">
        <f>'Consol. Historical FS'!D135</f>
        <v>0</v>
      </c>
      <c r="E138" s="19">
        <f>'Consol. Historical FS'!E135</f>
        <v>0</v>
      </c>
      <c r="F138" s="19">
        <f>'Consol. Historical FS'!F135</f>
        <v>0</v>
      </c>
      <c r="G138" s="19">
        <f>'Consol. Historical FS'!G135</f>
        <v>0</v>
      </c>
      <c r="H138" s="19">
        <f>Scenarios!K341</f>
        <v>0</v>
      </c>
      <c r="I138" s="19">
        <f>Scenarios!L341</f>
        <v>0</v>
      </c>
    </row>
    <row r="139" spans="2:9">
      <c r="B139" s="29" t="s">
        <v>118</v>
      </c>
      <c r="C139" s="19">
        <f>'Consol. Historical FS'!C136</f>
        <v>25</v>
      </c>
      <c r="D139" s="19">
        <f>'Consol. Historical FS'!D136</f>
        <v>0</v>
      </c>
      <c r="E139" s="19">
        <f>'Consol. Historical FS'!E136</f>
        <v>0</v>
      </c>
      <c r="F139" s="19">
        <f>'Consol. Historical FS'!F136</f>
        <v>0</v>
      </c>
      <c r="G139" s="19">
        <f>'Consol. Historical FS'!G136</f>
        <v>0</v>
      </c>
      <c r="H139" s="19">
        <f>Scenarios!K342</f>
        <v>0</v>
      </c>
      <c r="I139" s="19">
        <f>Scenarios!L342</f>
        <v>0</v>
      </c>
    </row>
    <row r="140" spans="2:9">
      <c r="B140" s="29" t="s">
        <v>119</v>
      </c>
      <c r="C140" s="19">
        <f>'Consol. Historical FS'!C137</f>
        <v>-7.01</v>
      </c>
      <c r="D140" s="19">
        <f>'Consol. Historical FS'!D137</f>
        <v>-4.01</v>
      </c>
      <c r="E140" s="19">
        <f>'Consol. Historical FS'!E137</f>
        <v>-0.35</v>
      </c>
      <c r="F140" s="19">
        <f>'Consol. Historical FS'!F137</f>
        <v>-209.51</v>
      </c>
      <c r="G140" s="19">
        <f>'Consol. Historical FS'!G137</f>
        <v>-251.87</v>
      </c>
      <c r="H140" s="19">
        <f>Scenarios!K343</f>
        <v>0</v>
      </c>
      <c r="I140" s="19">
        <f>Scenarios!L343</f>
        <v>0</v>
      </c>
    </row>
    <row r="141" spans="2:9">
      <c r="B141" s="29" t="s">
        <v>120</v>
      </c>
      <c r="C141" s="19">
        <f>'Consol. Historical FS'!C138</f>
        <v>14.27</v>
      </c>
      <c r="D141" s="19">
        <f>'Consol. Historical FS'!D138</f>
        <v>-17.39</v>
      </c>
      <c r="E141" s="19">
        <f>'Consol. Historical FS'!E138</f>
        <v>-47.78</v>
      </c>
      <c r="F141" s="19">
        <f>'Consol. Historical FS'!F138</f>
        <v>161.69</v>
      </c>
      <c r="G141" s="19">
        <f>'Consol. Historical FS'!G138</f>
        <v>-141.56</v>
      </c>
      <c r="H141" s="19">
        <f>H26</f>
        <v>0</v>
      </c>
      <c r="I141" s="19">
        <f>I26</f>
        <v>0</v>
      </c>
    </row>
    <row r="142" spans="2:9">
      <c r="B142" s="29" t="s">
        <v>121</v>
      </c>
      <c r="C142" s="19">
        <f>'Consol. Historical FS'!C139</f>
        <v>0</v>
      </c>
      <c r="D142" s="19">
        <f>'Consol. Historical FS'!D139</f>
        <v>0</v>
      </c>
      <c r="E142" s="19">
        <f>'Consol. Historical FS'!E139</f>
        <v>0</v>
      </c>
      <c r="F142" s="19">
        <f>'Consol. Historical FS'!F139</f>
        <v>0</v>
      </c>
      <c r="G142" s="19">
        <f>'Consol. Historical FS'!G139</f>
        <v>0</v>
      </c>
      <c r="H142" s="19">
        <f>Scenarios!K344</f>
        <v>0</v>
      </c>
      <c r="I142" s="19">
        <f>Scenarios!L344</f>
        <v>0</v>
      </c>
    </row>
    <row r="143" spans="2:9">
      <c r="B143" s="7" t="s">
        <v>122</v>
      </c>
      <c r="C143" s="8">
        <f>SUM(C121:C142)</f>
        <v>8017.7300000000005</v>
      </c>
      <c r="D143" s="8">
        <f t="shared" ref="D143:I143" si="27">SUM(D121:D142)</f>
        <v>10619.640000000003</v>
      </c>
      <c r="E143" s="8">
        <f t="shared" si="27"/>
        <v>13591.03</v>
      </c>
      <c r="F143" s="8">
        <f t="shared" si="27"/>
        <v>16279.35</v>
      </c>
      <c r="G143" s="8">
        <f t="shared" si="27"/>
        <v>19053.170000000002</v>
      </c>
      <c r="H143" s="8">
        <f>SUM(H121:H142)</f>
        <v>24761.895892899913</v>
      </c>
      <c r="I143" s="8">
        <f t="shared" si="27"/>
        <v>30873.149588124892</v>
      </c>
    </row>
    <row r="144" spans="2:9">
      <c r="B144" s="4" t="s">
        <v>123</v>
      </c>
    </row>
    <row r="145" spans="2:9">
      <c r="B145" s="20" t="s">
        <v>124</v>
      </c>
      <c r="C145" s="19">
        <f>'Consol. Historical FS'!C142</f>
        <v>10.68</v>
      </c>
      <c r="D145" s="19">
        <f>'Consol. Historical FS'!D142</f>
        <v>10.47</v>
      </c>
      <c r="E145" s="19">
        <f>'Consol. Historical FS'!E142</f>
        <v>-167.97</v>
      </c>
      <c r="F145" s="19">
        <f>'Consol. Historical FS'!F142</f>
        <v>40.9</v>
      </c>
      <c r="G145" s="19">
        <f>'Consol. Historical FS'!G142</f>
        <v>247.27</v>
      </c>
      <c r="H145" s="19">
        <f>SUM(H108:H109)-SUM(G108:G109)</f>
        <v>0</v>
      </c>
      <c r="I145" s="19">
        <f t="shared" ref="I145" si="28">SUM(I108:I109)-SUM(H108:H109)</f>
        <v>0</v>
      </c>
    </row>
    <row r="146" spans="2:9">
      <c r="B146" s="20" t="s">
        <v>125</v>
      </c>
      <c r="C146" s="19">
        <f>'Consol. Historical FS'!C143</f>
        <v>-68.92</v>
      </c>
      <c r="D146" s="19">
        <f>'Consol. Historical FS'!D143</f>
        <v>109.74</v>
      </c>
      <c r="E146" s="19">
        <f>'Consol. Historical FS'!E143</f>
        <v>249.96</v>
      </c>
      <c r="F146" s="19">
        <f>'Consol. Historical FS'!F143</f>
        <v>-620.32000000000005</v>
      </c>
      <c r="G146" s="19">
        <f>'Consol. Historical FS'!G143</f>
        <v>87.89</v>
      </c>
      <c r="H146" s="19">
        <f>SUM(H103:H104)-SUM(G103:G104)</f>
        <v>51.559999999999945</v>
      </c>
      <c r="I146" s="19">
        <f t="shared" ref="I146" si="29">SUM(I103:I104)-SUM(H103:H104)</f>
        <v>715.65000000000009</v>
      </c>
    </row>
    <row r="147" spans="2:9">
      <c r="B147" s="20" t="s">
        <v>126</v>
      </c>
      <c r="C147" s="19">
        <f>'Consol. Historical FS'!C144</f>
        <v>-80.919999999999987</v>
      </c>
      <c r="D147" s="19">
        <f>'Consol. Historical FS'!D144</f>
        <v>-324.05</v>
      </c>
      <c r="E147" s="19">
        <f>'Consol. Historical FS'!E144</f>
        <v>448.15</v>
      </c>
      <c r="F147" s="19">
        <f>'Consol. Historical FS'!F144</f>
        <v>594.09</v>
      </c>
      <c r="G147" s="19">
        <f>'Consol. Historical FS'!G144</f>
        <v>636.88</v>
      </c>
      <c r="H147" s="19">
        <f>(H107-G107+H93-G93)</f>
        <v>0</v>
      </c>
      <c r="I147" s="19">
        <f t="shared" ref="I147" si="30">(I107-H107+I93-H93)</f>
        <v>0</v>
      </c>
    </row>
    <row r="148" spans="2:9">
      <c r="B148" s="20" t="s">
        <v>127</v>
      </c>
      <c r="C148" s="19">
        <f>'Consol. Historical FS'!C145</f>
        <v>275.93</v>
      </c>
      <c r="D148" s="19">
        <f>'Consol. Historical FS'!D145</f>
        <v>126.62</v>
      </c>
      <c r="E148" s="19">
        <f>'Consol. Historical FS'!E145</f>
        <v>-531.03</v>
      </c>
      <c r="F148" s="19">
        <f>'Consol. Historical FS'!F145</f>
        <v>297.48</v>
      </c>
      <c r="G148" s="19">
        <f>'Consol. Historical FS'!G145</f>
        <v>-854.16000000000008</v>
      </c>
      <c r="H148" s="19">
        <f>-(H72-G72+H59-G59+H65-G65)</f>
        <v>-500.00000000000011</v>
      </c>
      <c r="I148" s="19">
        <f>-(I72-H72+I59-H59+I65-H65)</f>
        <v>-500</v>
      </c>
    </row>
    <row r="149" spans="2:9">
      <c r="B149" s="20" t="s">
        <v>128</v>
      </c>
      <c r="C149" s="19">
        <f>'Consol. Historical FS'!C146</f>
        <v>295.2</v>
      </c>
      <c r="D149" s="19">
        <f>'Consol. Historical FS'!D146</f>
        <v>230.18</v>
      </c>
      <c r="E149" s="19">
        <f>'Consol. Historical FS'!E146</f>
        <v>-787.07</v>
      </c>
      <c r="F149" s="19">
        <f>'Consol. Historical FS'!F146</f>
        <v>-329.79</v>
      </c>
      <c r="G149" s="19">
        <f>'Consol. Historical FS'!G146</f>
        <v>-450.99</v>
      </c>
      <c r="H149" s="19">
        <f>-(H66-G66)</f>
        <v>-539.03000000000065</v>
      </c>
      <c r="I149" s="19">
        <f t="shared" ref="I149" si="31">-(I66-H66)</f>
        <v>-1073.6199999999999</v>
      </c>
    </row>
    <row r="150" spans="2:9">
      <c r="B150" s="20" t="s">
        <v>129</v>
      </c>
      <c r="C150" s="19">
        <f>'Consol. Historical FS'!C147</f>
        <v>-21.089999999999996</v>
      </c>
      <c r="D150" s="19">
        <f>'Consol. Historical FS'!D147</f>
        <v>607.26</v>
      </c>
      <c r="E150" s="19">
        <f>'Consol. Historical FS'!E147</f>
        <v>-35.89</v>
      </c>
      <c r="F150" s="19">
        <f>'Consol. Historical FS'!F147</f>
        <v>27.79</v>
      </c>
      <c r="G150" s="19">
        <f>'Consol. Historical FS'!G147</f>
        <v>-28.740000000000002</v>
      </c>
      <c r="H150" s="19">
        <f>-(H63-G63)</f>
        <v>-109.46000000000004</v>
      </c>
      <c r="I150" s="19">
        <f t="shared" ref="I150" si="32">-(I63-H63)</f>
        <v>-143.78999999999996</v>
      </c>
    </row>
    <row r="151" spans="2:9">
      <c r="B151" s="9" t="s">
        <v>130</v>
      </c>
      <c r="C151" s="10">
        <f>SUM(C145:C150)</f>
        <v>410.88000000000005</v>
      </c>
      <c r="D151" s="10">
        <f t="shared" ref="D151:I151" si="33">SUM(D145:D150)</f>
        <v>760.22</v>
      </c>
      <c r="E151" s="10">
        <f t="shared" si="33"/>
        <v>-823.85</v>
      </c>
      <c r="F151" s="10">
        <f t="shared" si="33"/>
        <v>10.149999999999956</v>
      </c>
      <c r="G151" s="10">
        <f t="shared" si="33"/>
        <v>-361.85000000000014</v>
      </c>
      <c r="H151" s="10">
        <f t="shared" si="33"/>
        <v>-1096.9300000000007</v>
      </c>
      <c r="I151" s="10">
        <f t="shared" si="33"/>
        <v>-1001.7599999999998</v>
      </c>
    </row>
    <row r="152" spans="2:9">
      <c r="B152" s="7" t="s">
        <v>131</v>
      </c>
      <c r="C152" s="8">
        <f>SUM(C143,C151)</f>
        <v>8428.61</v>
      </c>
      <c r="D152" s="8">
        <f t="shared" ref="D152:G152" si="34">SUM(D143,D151)</f>
        <v>11379.860000000002</v>
      </c>
      <c r="E152" s="8">
        <f t="shared" si="34"/>
        <v>12767.18</v>
      </c>
      <c r="F152" s="8">
        <f t="shared" si="34"/>
        <v>16289.5</v>
      </c>
      <c r="G152" s="8">
        <f t="shared" si="34"/>
        <v>18691.320000000003</v>
      </c>
      <c r="H152" s="8">
        <f>SUM(H143,H151)</f>
        <v>23664.965892899912</v>
      </c>
      <c r="I152" s="8">
        <f t="shared" ref="I152" si="35">SUM(I143,I151)</f>
        <v>29871.389588124894</v>
      </c>
    </row>
    <row r="153" spans="2:9">
      <c r="B153" s="1" t="s">
        <v>132</v>
      </c>
      <c r="C153" s="19">
        <f>'Consol. Historical FS'!C150</f>
        <v>-872.83</v>
      </c>
      <c r="D153" s="19">
        <f>'Consol. Historical FS'!D150</f>
        <v>-959.72</v>
      </c>
      <c r="E153" s="19">
        <f>'Consol. Historical FS'!E150</f>
        <v>-833.93</v>
      </c>
      <c r="F153" s="19">
        <f>'Consol. Historical FS'!F150</f>
        <v>-1271.92</v>
      </c>
      <c r="G153" s="19">
        <f>'Consol. Historical FS'!G150</f>
        <v>-1465.04</v>
      </c>
      <c r="H153" s="19">
        <f>-H30</f>
        <v>-2659.18</v>
      </c>
      <c r="I153" s="19">
        <f t="shared" ref="I153" si="36">-I30</f>
        <v>-3431.31</v>
      </c>
    </row>
    <row r="154" spans="2:9">
      <c r="B154" s="1" t="s">
        <v>133</v>
      </c>
      <c r="C154" s="19">
        <f>'Consol. Historical FS'!C151</f>
        <v>0</v>
      </c>
      <c r="D154" s="19">
        <f>'Consol. Historical FS'!D151</f>
        <v>0</v>
      </c>
      <c r="E154" s="19">
        <f>'Consol. Historical FS'!E151</f>
        <v>0</v>
      </c>
      <c r="F154" s="19">
        <f>'Consol. Historical FS'!F151</f>
        <v>0</v>
      </c>
      <c r="G154" s="19">
        <f>'Consol. Historical FS'!G151</f>
        <v>0</v>
      </c>
      <c r="H154" s="19">
        <f>Scenarios!K345</f>
        <v>0</v>
      </c>
      <c r="I154" s="19">
        <f>Scenarios!L345</f>
        <v>0</v>
      </c>
    </row>
    <row r="155" spans="2:9">
      <c r="B155" s="1" t="s">
        <v>134</v>
      </c>
      <c r="C155" s="19">
        <f>'Consol. Historical FS'!C152</f>
        <v>0</v>
      </c>
      <c r="D155" s="19">
        <f>'Consol. Historical FS'!D152</f>
        <v>0</v>
      </c>
      <c r="E155" s="19">
        <f>'Consol. Historical FS'!E152</f>
        <v>0</v>
      </c>
      <c r="F155" s="19">
        <f>'Consol. Historical FS'!F152</f>
        <v>0</v>
      </c>
      <c r="G155" s="19">
        <f>'Consol. Historical FS'!G152</f>
        <v>0</v>
      </c>
      <c r="H155" s="19">
        <f>Scenarios!K346</f>
        <v>0</v>
      </c>
      <c r="I155" s="19">
        <f>Scenarios!L346</f>
        <v>0</v>
      </c>
    </row>
    <row r="156" spans="2:9">
      <c r="B156" s="9" t="s">
        <v>135</v>
      </c>
      <c r="C156" s="10">
        <f>SUM(C152:C155)</f>
        <v>7555.7800000000007</v>
      </c>
      <c r="D156" s="10">
        <f t="shared" ref="D156:I156" si="37">SUM(D152:D155)</f>
        <v>10420.140000000003</v>
      </c>
      <c r="E156" s="10">
        <f t="shared" si="37"/>
        <v>11933.25</v>
      </c>
      <c r="F156" s="10">
        <f t="shared" si="37"/>
        <v>15017.58</v>
      </c>
      <c r="G156" s="10">
        <f t="shared" si="37"/>
        <v>17226.280000000002</v>
      </c>
      <c r="H156" s="10">
        <f>SUM(H152:H155)</f>
        <v>21005.785892899912</v>
      </c>
      <c r="I156" s="10">
        <f t="shared" si="37"/>
        <v>26440.079588124892</v>
      </c>
    </row>
    <row r="158" spans="2:9">
      <c r="B158" s="18" t="s">
        <v>136</v>
      </c>
    </row>
    <row r="159" spans="2:9" ht="30.75">
      <c r="B159" s="30" t="s">
        <v>137</v>
      </c>
      <c r="C159" s="19">
        <f>'Consol. Historical FS'!C156</f>
        <v>-2490.31</v>
      </c>
      <c r="D159" s="19">
        <f>'Consol. Historical FS'!D156</f>
        <v>-3196.4799999999996</v>
      </c>
      <c r="E159" s="19">
        <f>'Consol. Historical FS'!E156</f>
        <v>-8575.7800000000007</v>
      </c>
      <c r="F159" s="19">
        <f>'Consol. Historical FS'!F156</f>
        <v>-5379.67</v>
      </c>
      <c r="G159" s="19">
        <f>'Consol. Historical FS'!G156</f>
        <v>-8314.92</v>
      </c>
      <c r="H159" s="19">
        <f>G159/Scenarios!J428*Scenarios!K428*1.5</f>
        <v>-8020.4878895737475</v>
      </c>
      <c r="I159" s="19">
        <f>H159/Scenarios!K428*Scenarios!L428</f>
        <v>-10025.609861967183</v>
      </c>
    </row>
    <row r="160" spans="2:9">
      <c r="B160" s="1" t="s">
        <v>138</v>
      </c>
      <c r="C160" s="19">
        <f>'Consol. Historical FS'!C157</f>
        <v>3.8</v>
      </c>
      <c r="D160" s="19">
        <f>'Consol. Historical FS'!D157</f>
        <v>167.91</v>
      </c>
      <c r="E160" s="19">
        <f>'Consol. Historical FS'!E157</f>
        <v>203.79</v>
      </c>
      <c r="F160" s="19">
        <f>'Consol. Historical FS'!F157</f>
        <v>26.71</v>
      </c>
      <c r="G160" s="19">
        <f>'Consol. Historical FS'!G157</f>
        <v>50.72</v>
      </c>
      <c r="H160" s="19">
        <f>G160/Scenarios!J426*Scenarios!K426</f>
        <v>60.638540116864519</v>
      </c>
      <c r="I160" s="19">
        <f>H160/Scenarios!K426*Scenarios!L426</f>
        <v>68.712403921594984</v>
      </c>
    </row>
    <row r="161" spans="2:9">
      <c r="B161" s="1" t="s">
        <v>139</v>
      </c>
      <c r="C161" s="19">
        <f>'Consol. Historical FS'!C158</f>
        <v>0</v>
      </c>
      <c r="D161" s="19">
        <f>'Consol. Historical FS'!D158</f>
        <v>0</v>
      </c>
      <c r="E161" s="19">
        <f>'Consol. Historical FS'!E158</f>
        <v>0</v>
      </c>
      <c r="F161" s="19">
        <f>'Consol. Historical FS'!F158</f>
        <v>3305.05</v>
      </c>
      <c r="G161" s="19">
        <f>'Consol. Historical FS'!G158</f>
        <v>-71.37</v>
      </c>
      <c r="H161" s="19">
        <f>Scenarios!K351</f>
        <v>0</v>
      </c>
      <c r="I161" s="19">
        <f>Scenarios!L351</f>
        <v>0</v>
      </c>
    </row>
    <row r="162" spans="2:9">
      <c r="B162" s="1" t="s">
        <v>140</v>
      </c>
      <c r="C162" s="19">
        <f>'Consol. Historical FS'!C159</f>
        <v>0</v>
      </c>
      <c r="D162" s="19">
        <f>'Consol. Historical FS'!D159</f>
        <v>286.35000000000002</v>
      </c>
      <c r="E162" s="19">
        <f>'Consol. Historical FS'!E159</f>
        <v>58.75</v>
      </c>
      <c r="F162" s="19">
        <f>'Consol. Historical FS'!F159</f>
        <v>0</v>
      </c>
      <c r="G162" s="19">
        <f>'Consol. Historical FS'!G159</f>
        <v>0</v>
      </c>
      <c r="H162" s="19">
        <f>Scenarios!K352</f>
        <v>0</v>
      </c>
      <c r="I162" s="19">
        <f>Scenarios!L352</f>
        <v>0</v>
      </c>
    </row>
    <row r="163" spans="2:9" ht="30.75">
      <c r="B163" s="30" t="s">
        <v>141</v>
      </c>
      <c r="C163" s="19">
        <f>'Consol. Historical FS'!C160</f>
        <v>-13438.69</v>
      </c>
      <c r="D163" s="19">
        <f>'Consol. Historical FS'!D160</f>
        <v>-539.30000000000007</v>
      </c>
      <c r="E163" s="19">
        <f>'Consol. Historical FS'!E160</f>
        <v>-14429.07</v>
      </c>
      <c r="F163" s="19">
        <f>'Consol. Historical FS'!F160</f>
        <v>-3273.03</v>
      </c>
      <c r="G163" s="19">
        <f>'Consol. Historical FS'!G160</f>
        <v>-5151.37</v>
      </c>
      <c r="H163" s="19">
        <f>G163/G9*H9</f>
        <v>-6390.0434382039493</v>
      </c>
      <c r="I163" s="19">
        <f t="shared" ref="I163" si="38">H163/H9*I9</f>
        <v>-7935.351496436625</v>
      </c>
    </row>
    <row r="164" spans="2:9">
      <c r="B164" s="1" t="s">
        <v>142</v>
      </c>
      <c r="C164" s="19">
        <f>'Consol. Historical FS'!C161</f>
        <v>0</v>
      </c>
      <c r="D164" s="19">
        <f>'Consol. Historical FS'!D161</f>
        <v>0</v>
      </c>
      <c r="E164" s="19">
        <f>'Consol. Historical FS'!E161</f>
        <v>0</v>
      </c>
      <c r="F164" s="19">
        <f>'Consol. Historical FS'!F161</f>
        <v>0</v>
      </c>
      <c r="G164" s="19">
        <f>'Consol. Historical FS'!G161</f>
        <v>0</v>
      </c>
      <c r="H164" s="19">
        <f>Scenarios!K354</f>
        <v>0</v>
      </c>
      <c r="I164" s="19">
        <f>Scenarios!L354</f>
        <v>0</v>
      </c>
    </row>
    <row r="165" spans="2:9">
      <c r="B165" s="1" t="s">
        <v>143</v>
      </c>
      <c r="C165" s="19">
        <f>'Consol. Historical FS'!C162</f>
        <v>0</v>
      </c>
      <c r="D165" s="19">
        <f>'Consol. Historical FS'!D162</f>
        <v>0</v>
      </c>
      <c r="E165" s="19">
        <f>'Consol. Historical FS'!E162</f>
        <v>0</v>
      </c>
      <c r="F165" s="19">
        <f>'Consol. Historical FS'!F162</f>
        <v>0</v>
      </c>
      <c r="G165" s="19">
        <f>'Consol. Historical FS'!G162</f>
        <v>0</v>
      </c>
      <c r="H165" s="19">
        <f>Scenarios!K355</f>
        <v>0</v>
      </c>
      <c r="I165" s="19">
        <f>Scenarios!L355</f>
        <v>0</v>
      </c>
    </row>
    <row r="166" spans="2:9">
      <c r="B166" s="1" t="s">
        <v>144</v>
      </c>
      <c r="C166" s="19">
        <f>'Consol. Historical FS'!C163</f>
        <v>1031.7699999999968</v>
      </c>
      <c r="D166" s="19">
        <f>'Consol. Historical FS'!D163</f>
        <v>411.05999999999767</v>
      </c>
      <c r="E166" s="19">
        <f>'Consol. Historical FS'!E163</f>
        <v>1390.2999999999993</v>
      </c>
      <c r="F166" s="19">
        <f>'Consol. Historical FS'!F163</f>
        <v>188.17000000000002</v>
      </c>
      <c r="G166" s="19">
        <f>'Consol. Historical FS'!G163</f>
        <v>72.06</v>
      </c>
      <c r="H166" s="19">
        <f>Scenarios!K356</f>
        <v>0</v>
      </c>
      <c r="I166" s="19">
        <f>Scenarios!L356</f>
        <v>0</v>
      </c>
    </row>
    <row r="167" spans="2:9">
      <c r="B167" s="1" t="s">
        <v>145</v>
      </c>
      <c r="C167" s="19">
        <f>'Consol. Historical FS'!C164</f>
        <v>-1412.45</v>
      </c>
      <c r="D167" s="19">
        <f>'Consol. Historical FS'!D164</f>
        <v>-4234.68</v>
      </c>
      <c r="E167" s="19">
        <f>'Consol. Historical FS'!E164</f>
        <v>287.06</v>
      </c>
      <c r="F167" s="19">
        <f>'Consol. Historical FS'!F164</f>
        <v>-2996.84</v>
      </c>
      <c r="G167" s="19">
        <f>'Consol. Historical FS'!G164</f>
        <v>2761.32</v>
      </c>
      <c r="H167" s="19">
        <f>Scenarios!K357</f>
        <v>0</v>
      </c>
      <c r="I167" s="19">
        <f>Scenarios!L357</f>
        <v>0</v>
      </c>
    </row>
    <row r="168" spans="2:9">
      <c r="B168" s="1" t="s">
        <v>146</v>
      </c>
      <c r="C168" s="19">
        <f>'Consol. Historical FS'!C165</f>
        <v>0</v>
      </c>
      <c r="D168" s="19">
        <f>'Consol. Historical FS'!D165</f>
        <v>0</v>
      </c>
      <c r="E168" s="19">
        <f>'Consol. Historical FS'!E165</f>
        <v>0</v>
      </c>
      <c r="F168" s="19">
        <f>'Consol. Historical FS'!F165</f>
        <v>0</v>
      </c>
      <c r="G168" s="19">
        <f>'Consol. Historical FS'!G165</f>
        <v>0</v>
      </c>
      <c r="H168" s="19">
        <f>Scenarios!K358</f>
        <v>0</v>
      </c>
      <c r="I168" s="19">
        <f>Scenarios!L358</f>
        <v>0</v>
      </c>
    </row>
    <row r="169" spans="2:9">
      <c r="B169" s="1" t="s">
        <v>147</v>
      </c>
      <c r="C169" s="19">
        <f>'Consol. Historical FS'!C166</f>
        <v>2156.1999999999998</v>
      </c>
      <c r="D169" s="19">
        <f>'Consol. Historical FS'!D166</f>
        <v>1819.31</v>
      </c>
      <c r="E169" s="19">
        <f>'Consol. Historical FS'!E166</f>
        <v>1461</v>
      </c>
      <c r="F169" s="19">
        <f>'Consol. Historical FS'!F166</f>
        <v>969.16</v>
      </c>
      <c r="G169" s="19">
        <f>'Consol. Historical FS'!G166</f>
        <v>610.53</v>
      </c>
      <c r="H169" s="19">
        <f>Scenarios!K359</f>
        <v>200</v>
      </c>
      <c r="I169" s="19">
        <f>Scenarios!L359</f>
        <v>223</v>
      </c>
    </row>
    <row r="170" spans="2:9">
      <c r="B170" s="1" t="s">
        <v>148</v>
      </c>
      <c r="C170" s="19">
        <f>'Consol. Historical FS'!C167</f>
        <v>7.01</v>
      </c>
      <c r="D170" s="19">
        <f>'Consol. Historical FS'!D167</f>
        <v>4.01</v>
      </c>
      <c r="E170" s="19">
        <f>'Consol. Historical FS'!E167</f>
        <v>0.35</v>
      </c>
      <c r="F170" s="19">
        <f>'Consol. Historical FS'!F167</f>
        <v>213.9</v>
      </c>
      <c r="G170" s="19">
        <f>'Consol. Historical FS'!G167</f>
        <v>255.76</v>
      </c>
      <c r="H170" s="19">
        <f>Scenarios!K360</f>
        <v>0</v>
      </c>
      <c r="I170" s="19">
        <f>Scenarios!L360</f>
        <v>0</v>
      </c>
    </row>
    <row r="171" spans="2:9">
      <c r="B171" s="1" t="s">
        <v>149</v>
      </c>
      <c r="C171" s="19">
        <f>'Consol. Historical FS'!C168</f>
        <v>0</v>
      </c>
      <c r="D171" s="19">
        <f>'Consol. Historical FS'!D168</f>
        <v>0</v>
      </c>
      <c r="E171" s="19">
        <f>'Consol. Historical FS'!E168</f>
        <v>0</v>
      </c>
      <c r="F171" s="19">
        <f>'Consol. Historical FS'!F168</f>
        <v>0</v>
      </c>
      <c r="G171" s="19">
        <f>'Consol. Historical FS'!G168</f>
        <v>0</v>
      </c>
      <c r="H171" s="19">
        <f>Scenarios!K361</f>
        <v>0</v>
      </c>
      <c r="I171" s="19">
        <f>Scenarios!L361</f>
        <v>0</v>
      </c>
    </row>
    <row r="172" spans="2:9">
      <c r="B172" s="9" t="s">
        <v>150</v>
      </c>
      <c r="C172" s="10">
        <f>SUM(C159:C171)</f>
        <v>-14142.670000000004</v>
      </c>
      <c r="D172" s="10">
        <f t="shared" ref="D172:I172" si="39">SUM(D159:D171)</f>
        <v>-5281.8200000000033</v>
      </c>
      <c r="E172" s="10">
        <f t="shared" si="39"/>
        <v>-19603.599999999999</v>
      </c>
      <c r="F172" s="10">
        <f t="shared" si="39"/>
        <v>-6946.5500000000011</v>
      </c>
      <c r="G172" s="10">
        <f t="shared" si="39"/>
        <v>-9787.2700000000023</v>
      </c>
      <c r="H172" s="10">
        <f t="shared" si="39"/>
        <v>-14149.892787660832</v>
      </c>
      <c r="I172" s="10">
        <f t="shared" si="39"/>
        <v>-17669.248954482213</v>
      </c>
    </row>
    <row r="174" spans="2:9">
      <c r="B174" s="18" t="s">
        <v>151</v>
      </c>
    </row>
    <row r="175" spans="2:9">
      <c r="B175" s="30" t="s">
        <v>152</v>
      </c>
      <c r="C175" s="19">
        <f>'Consol. Historical FS'!C172</f>
        <v>0</v>
      </c>
      <c r="D175" s="19">
        <f>'Consol. Historical FS'!D172</f>
        <v>0</v>
      </c>
      <c r="E175" s="19">
        <f>'Consol. Historical FS'!E172</f>
        <v>0</v>
      </c>
      <c r="F175" s="19">
        <f>'Consol. Historical FS'!F172</f>
        <v>0</v>
      </c>
      <c r="G175" s="19">
        <f>'Consol. Historical FS'!G172</f>
        <v>0</v>
      </c>
      <c r="H175" s="19">
        <f>H127</f>
        <v>0</v>
      </c>
      <c r="I175" s="19">
        <f t="shared" ref="I175" si="40">I127</f>
        <v>0</v>
      </c>
    </row>
    <row r="176" spans="2:9">
      <c r="B176" s="1" t="s">
        <v>153</v>
      </c>
      <c r="C176" s="19">
        <f>'Consol. Historical FS'!C173</f>
        <v>0</v>
      </c>
      <c r="D176" s="19">
        <f>'Consol. Historical FS'!D173</f>
        <v>800</v>
      </c>
      <c r="E176" s="19">
        <f>'Consol. Historical FS'!E173</f>
        <v>0</v>
      </c>
      <c r="F176" s="19">
        <f>'Consol. Historical FS'!F173</f>
        <v>235.16</v>
      </c>
      <c r="G176" s="19">
        <f>'Consol. Historical FS'!G173</f>
        <v>386.51</v>
      </c>
      <c r="H176" s="19">
        <f>Scenarios!K365</f>
        <v>0</v>
      </c>
      <c r="I176" s="19">
        <f>Scenarios!L365</f>
        <v>0</v>
      </c>
    </row>
    <row r="177" spans="2:12">
      <c r="B177" s="1" t="s">
        <v>154</v>
      </c>
      <c r="C177" s="19">
        <f>'Consol. Historical FS'!C174</f>
        <v>13893.45</v>
      </c>
      <c r="D177" s="19">
        <f>'Consol. Historical FS'!D174</f>
        <v>7244.31</v>
      </c>
      <c r="E177" s="19">
        <f>'Consol. Historical FS'!E174</f>
        <v>7445.87</v>
      </c>
      <c r="F177" s="19">
        <f>'Consol. Historical FS'!F174</f>
        <v>1929.75</v>
      </c>
      <c r="G177" s="19">
        <f>'Consol. Historical FS'!G174</f>
        <v>3913.34</v>
      </c>
      <c r="H177" s="19">
        <f>(K177-H178)</f>
        <v>11517.857000000004</v>
      </c>
      <c r="I177" s="19">
        <f t="shared" ref="I177" si="41">(L177-I178)</f>
        <v>12669.642700000008</v>
      </c>
      <c r="K177" s="173">
        <f>Scenarios!K413-Scenarios!J413</f>
        <v>4122.0290000000023</v>
      </c>
      <c r="L177" s="173">
        <f>Scenarios!L413-Scenarios!K413</f>
        <v>4534.2319000000061</v>
      </c>
    </row>
    <row r="178" spans="2:12">
      <c r="B178" s="1" t="s">
        <v>155</v>
      </c>
      <c r="C178" s="19">
        <f>'Consol. Historical FS'!C175</f>
        <v>-7252.6</v>
      </c>
      <c r="D178" s="19">
        <f>'Consol. Historical FS'!D175</f>
        <v>-2293.1</v>
      </c>
      <c r="E178" s="19">
        <f>'Consol. Historical FS'!E175</f>
        <v>-1710.69</v>
      </c>
      <c r="F178" s="19">
        <f>'Consol. Historical FS'!F175</f>
        <v>-5583.81</v>
      </c>
      <c r="G178" s="19">
        <f>'Consol. Historical FS'!G175</f>
        <v>-6723.48</v>
      </c>
      <c r="H178" s="19">
        <f>G178/Scenarios!J413*Scenarios!K413</f>
        <v>-7395.8280000000004</v>
      </c>
      <c r="I178" s="19">
        <f>H178/Scenarios!K413*Scenarios!L413</f>
        <v>-8135.4108000000015</v>
      </c>
    </row>
    <row r="179" spans="2:12">
      <c r="B179" s="1" t="s">
        <v>182</v>
      </c>
      <c r="C179" s="19">
        <f>'Consol. Historical FS'!C176</f>
        <v>-1150</v>
      </c>
      <c r="D179" s="19">
        <f>'Consol. Historical FS'!D176</f>
        <v>2576.38</v>
      </c>
      <c r="E179" s="19">
        <f>'Consol. Historical FS'!E176</f>
        <v>-5389.83</v>
      </c>
      <c r="F179" s="19">
        <f>'Consol. Historical FS'!F176</f>
        <v>-474.97</v>
      </c>
      <c r="G179" s="19">
        <f>'Consol. Historical FS'!G176</f>
        <v>-50.46</v>
      </c>
      <c r="H179" s="19">
        <f>Scenarios!K407-Scenarios!J407</f>
        <v>2456.1383999999998</v>
      </c>
      <c r="I179" s="19">
        <f>Scenarios!L407-Scenarios!K407</f>
        <v>3070.9917127999997</v>
      </c>
    </row>
    <row r="180" spans="2:12">
      <c r="B180" s="1" t="s">
        <v>157</v>
      </c>
      <c r="C180" s="19">
        <f>'Consol. Historical FS'!C177</f>
        <v>0</v>
      </c>
      <c r="D180" s="19">
        <f>'Consol. Historical FS'!D177</f>
        <v>0</v>
      </c>
      <c r="E180" s="19">
        <f>'Consol. Historical FS'!E177</f>
        <v>0</v>
      </c>
      <c r="F180" s="19">
        <f>'Consol. Historical FS'!F177</f>
        <v>0</v>
      </c>
      <c r="G180" s="19">
        <f>'Consol. Historical FS'!G177</f>
        <v>0</v>
      </c>
      <c r="H180" s="19">
        <f>Scenarios!K366</f>
        <v>0</v>
      </c>
      <c r="I180" s="19">
        <f>Scenarios!L366</f>
        <v>0</v>
      </c>
    </row>
    <row r="181" spans="2:12">
      <c r="B181" s="1" t="s">
        <v>158</v>
      </c>
      <c r="C181" s="19">
        <f>'Consol. Historical FS'!C178</f>
        <v>-18.100000000000001</v>
      </c>
      <c r="D181" s="19">
        <f>'Consol. Historical FS'!D178</f>
        <v>-61.7</v>
      </c>
      <c r="E181" s="19">
        <f>'Consol. Historical FS'!E178</f>
        <v>-53.01</v>
      </c>
      <c r="F181" s="19">
        <f>'Consol. Historical FS'!F178</f>
        <v>-47.53</v>
      </c>
      <c r="G181" s="19">
        <f>'Consol. Historical FS'!G178</f>
        <v>-281.7</v>
      </c>
      <c r="H181" s="19">
        <f>G181/Scenarios!J427*Scenarios!K427</f>
        <v>-336.38590712569169</v>
      </c>
      <c r="I181" s="19">
        <f>H181/Scenarios!K427*Scenarios!L427</f>
        <v>-381.17481521499116</v>
      </c>
    </row>
    <row r="182" spans="2:12">
      <c r="B182" s="1" t="s">
        <v>159</v>
      </c>
      <c r="C182" s="19">
        <f>'Consol. Historical FS'!C179</f>
        <v>0</v>
      </c>
      <c r="D182" s="19">
        <f>'Consol. Historical FS'!D179</f>
        <v>0</v>
      </c>
      <c r="E182" s="19">
        <f>'Consol. Historical FS'!E179</f>
        <v>0</v>
      </c>
      <c r="F182" s="19">
        <f>'Consol. Historical FS'!F179</f>
        <v>0</v>
      </c>
      <c r="G182" s="19">
        <f>'Consol. Historical FS'!G179</f>
        <v>0</v>
      </c>
      <c r="H182" s="19">
        <f>Scenarios!K367</f>
        <v>0</v>
      </c>
      <c r="I182" s="19">
        <f>Scenarios!L367</f>
        <v>0</v>
      </c>
    </row>
    <row r="183" spans="2:12">
      <c r="B183" s="1" t="s">
        <v>160</v>
      </c>
      <c r="C183" s="19">
        <f>'Consol. Historical FS'!C180</f>
        <v>0</v>
      </c>
      <c r="D183" s="19">
        <f>'Consol. Historical FS'!D180</f>
        <v>0</v>
      </c>
      <c r="E183" s="19">
        <f>'Consol. Historical FS'!E180</f>
        <v>0</v>
      </c>
      <c r="F183" s="19">
        <f>'Consol. Historical FS'!F180</f>
        <v>0</v>
      </c>
      <c r="G183" s="19">
        <f>'Consol. Historical FS'!G180</f>
        <v>0</v>
      </c>
      <c r="H183" s="19">
        <f>Scenarios!K368</f>
        <v>0</v>
      </c>
      <c r="I183" s="19">
        <f>Scenarios!L368</f>
        <v>0</v>
      </c>
    </row>
    <row r="184" spans="2:12">
      <c r="B184" s="1" t="s">
        <v>161</v>
      </c>
      <c r="C184" s="19">
        <f>'Consol. Historical FS'!C181</f>
        <v>-1958.67</v>
      </c>
      <c r="D184" s="19">
        <f>'Consol. Historical FS'!D181</f>
        <v>-2507.38</v>
      </c>
      <c r="E184" s="19">
        <f>'Consol. Historical FS'!E181</f>
        <v>-2853.71</v>
      </c>
      <c r="F184" s="19">
        <f>'Consol. Historical FS'!F181</f>
        <v>-2779.03</v>
      </c>
      <c r="G184" s="19">
        <f>'Consol. Historical FS'!G181</f>
        <v>-2823.45</v>
      </c>
      <c r="H184" s="19">
        <f>-H23</f>
        <v>-3063.5021999999999</v>
      </c>
      <c r="I184" s="19">
        <f t="shared" ref="I184" si="42">-I23</f>
        <v>-3706.8376619999999</v>
      </c>
    </row>
    <row r="185" spans="2:12">
      <c r="B185" s="1" t="s">
        <v>162</v>
      </c>
      <c r="C185" s="19">
        <f>'Consol. Historical FS'!C182</f>
        <v>-0.23</v>
      </c>
      <c r="D185" s="19">
        <f>'Consol. Historical FS'!D182</f>
        <v>-1026.6500000000001</v>
      </c>
      <c r="E185" s="19">
        <f>'Consol. Historical FS'!E182</f>
        <v>-1092.9100000000001</v>
      </c>
      <c r="F185" s="19">
        <f>'Consol. Historical FS'!F182</f>
        <v>-1079.68</v>
      </c>
      <c r="G185" s="19">
        <f>'Consol. Historical FS'!G182</f>
        <v>-1336.28</v>
      </c>
      <c r="H185" s="19">
        <f>-Scenarios!K375*'3 Model Projected FS'!H36</f>
        <v>-2094.1019999999999</v>
      </c>
      <c r="I185" s="19">
        <f>-Scenarios!L375*'3 Model Projected FS'!I36</f>
        <v>-2792.23045</v>
      </c>
    </row>
    <row r="186" spans="2:12">
      <c r="B186" s="1" t="s">
        <v>163</v>
      </c>
      <c r="C186" s="19">
        <f>'Consol. Historical FS'!C183</f>
        <v>0</v>
      </c>
      <c r="D186" s="19">
        <f>'Consol. Historical FS'!D183</f>
        <v>0</v>
      </c>
      <c r="E186" s="19">
        <f>'Consol. Historical FS'!E183</f>
        <v>0</v>
      </c>
      <c r="F186" s="19">
        <f>'Consol. Historical FS'!F183</f>
        <v>0</v>
      </c>
      <c r="G186" s="19">
        <f>'Consol. Historical FS'!G183</f>
        <v>0</v>
      </c>
      <c r="H186" s="19">
        <f>Scenarios!K369</f>
        <v>0</v>
      </c>
      <c r="I186" s="19">
        <f>Scenarios!L369</f>
        <v>0</v>
      </c>
    </row>
    <row r="187" spans="2:12">
      <c r="B187" s="1" t="s">
        <v>164</v>
      </c>
      <c r="C187" s="19">
        <f>'Consol. Historical FS'!C184</f>
        <v>0</v>
      </c>
      <c r="D187" s="19">
        <f>'Consol. Historical FS'!D184</f>
        <v>0</v>
      </c>
      <c r="E187" s="19">
        <f>'Consol. Historical FS'!E184</f>
        <v>0</v>
      </c>
      <c r="F187" s="19">
        <f>'Consol. Historical FS'!F184</f>
        <v>0</v>
      </c>
      <c r="G187" s="19">
        <f>'Consol. Historical FS'!G184</f>
        <v>0</v>
      </c>
      <c r="H187" s="19">
        <f t="shared" ref="H187" si="43">H83-G83</f>
        <v>0</v>
      </c>
      <c r="I187" s="19">
        <f t="shared" ref="I187" si="44">I83-H83</f>
        <v>0</v>
      </c>
    </row>
    <row r="188" spans="2:12">
      <c r="B188" s="1" t="s">
        <v>165</v>
      </c>
      <c r="C188" s="19">
        <f>'Consol. Historical FS'!C185</f>
        <v>0</v>
      </c>
      <c r="D188" s="19">
        <f>'Consol. Historical FS'!D185</f>
        <v>-5317.63</v>
      </c>
      <c r="E188" s="19">
        <f>'Consol. Historical FS'!E185</f>
        <v>920.48</v>
      </c>
      <c r="F188" s="19">
        <f>'Consol. Historical FS'!F185</f>
        <v>0</v>
      </c>
      <c r="G188" s="19">
        <f>'Consol. Historical FS'!G185</f>
        <v>0</v>
      </c>
      <c r="H188" s="19">
        <f>Scenarios!K370</f>
        <v>0</v>
      </c>
      <c r="I188" s="19">
        <f>Scenarios!L370</f>
        <v>0</v>
      </c>
    </row>
    <row r="189" spans="2:12">
      <c r="B189" s="1" t="s">
        <v>166</v>
      </c>
      <c r="C189" s="19">
        <f>'Consol. Historical FS'!C186</f>
        <v>0</v>
      </c>
      <c r="D189" s="19">
        <f>'Consol. Historical FS'!D186</f>
        <v>0</v>
      </c>
      <c r="E189" s="19">
        <f>'Consol. Historical FS'!E186</f>
        <v>0</v>
      </c>
      <c r="F189" s="19">
        <f>'Consol. Historical FS'!F186</f>
        <v>0</v>
      </c>
      <c r="G189" s="19">
        <f>'Consol. Historical FS'!G186</f>
        <v>0</v>
      </c>
      <c r="H189" s="19">
        <f>Scenarios!K371</f>
        <v>0</v>
      </c>
      <c r="I189" s="19">
        <f>Scenarios!L371</f>
        <v>0</v>
      </c>
    </row>
    <row r="190" spans="2:12">
      <c r="B190" s="9" t="s">
        <v>167</v>
      </c>
      <c r="C190" s="10">
        <f>SUM(C175:C189)</f>
        <v>3513.85</v>
      </c>
      <c r="D190" s="10">
        <f t="shared" ref="D190:I190" si="45">SUM(D175:D189)</f>
        <v>-585.77000000000135</v>
      </c>
      <c r="E190" s="10">
        <f t="shared" si="45"/>
        <v>-2733.7999999999997</v>
      </c>
      <c r="F190" s="10">
        <f t="shared" si="45"/>
        <v>-7800.1100000000015</v>
      </c>
      <c r="G190" s="10">
        <f t="shared" si="45"/>
        <v>-6915.5199999999986</v>
      </c>
      <c r="H190" s="10">
        <f t="shared" si="45"/>
        <v>1084.1772928743112</v>
      </c>
      <c r="I190" s="10">
        <f t="shared" si="45"/>
        <v>724.98068558501473</v>
      </c>
    </row>
    <row r="192" spans="2:12">
      <c r="B192" s="12" t="s">
        <v>168</v>
      </c>
      <c r="C192" s="13">
        <f>SUM(C156,C172,C190)</f>
        <v>-3073.0400000000031</v>
      </c>
      <c r="D192" s="13">
        <f t="shared" ref="D192:I192" si="46">SUM(D156,D172,D190)</f>
        <v>4552.5499999999984</v>
      </c>
      <c r="E192" s="13">
        <f t="shared" si="46"/>
        <v>-10404.149999999998</v>
      </c>
      <c r="F192" s="13">
        <f t="shared" si="46"/>
        <v>270.91999999999734</v>
      </c>
      <c r="G192" s="13">
        <f t="shared" si="46"/>
        <v>523.4900000000016</v>
      </c>
      <c r="H192" s="13">
        <f>SUM(H156,H172,H190)</f>
        <v>7940.0703981133911</v>
      </c>
      <c r="I192" s="13">
        <f t="shared" si="46"/>
        <v>9495.8113192276942</v>
      </c>
    </row>
    <row r="194" spans="2:9 16377:16377">
      <c r="B194" s="4" t="s">
        <v>169</v>
      </c>
      <c r="C194" s="19">
        <f>'Consol. Historical FS'!C191</f>
        <v>7195.46</v>
      </c>
      <c r="D194" s="19">
        <f>'Consol. Historical FS'!D191</f>
        <v>4334.8100000000004</v>
      </c>
      <c r="E194" s="19">
        <f>'Consol. Historical FS'!E191</f>
        <v>8676.0499999999993</v>
      </c>
      <c r="F194" s="19">
        <f>'Consol. Historical FS'!F191</f>
        <v>1125.82</v>
      </c>
      <c r="G194" s="19">
        <f>'Consol. Historical FS'!G191</f>
        <v>1575.73</v>
      </c>
      <c r="H194" s="77">
        <f>G196</f>
        <v>3406.32</v>
      </c>
      <c r="I194" s="77">
        <f t="shared" ref="I194" si="47">H196</f>
        <v>11346.390398113392</v>
      </c>
    </row>
    <row r="195" spans="2:9 16377:16377">
      <c r="B195" s="1" t="s">
        <v>170</v>
      </c>
      <c r="C195" s="19">
        <f>'Consol. Historical FS'!C192</f>
        <v>78.55</v>
      </c>
      <c r="D195" s="19">
        <f>'Consol. Historical FS'!D192</f>
        <v>-211.31</v>
      </c>
      <c r="E195" s="19">
        <f>'Consol. Historical FS'!E192</f>
        <v>2664.8</v>
      </c>
      <c r="F195" s="19">
        <f>'Consol. Historical FS'!F192</f>
        <v>178.99</v>
      </c>
      <c r="G195" s="19">
        <f>'Consol. Historical FS'!G192</f>
        <v>1307.0999999999999</v>
      </c>
      <c r="H195" s="19">
        <v>0</v>
      </c>
      <c r="I195" s="19">
        <v>0</v>
      </c>
    </row>
    <row r="196" spans="2:9 16377:16377">
      <c r="B196" s="4" t="s">
        <v>171</v>
      </c>
      <c r="C196" s="19">
        <f>'Consol. Historical FS'!C193</f>
        <v>4200.97</v>
      </c>
      <c r="D196" s="19">
        <f>'Consol. Historical FS'!D193</f>
        <v>8676.0499999999993</v>
      </c>
      <c r="E196" s="19">
        <f>'Consol. Historical FS'!E193</f>
        <v>936.7</v>
      </c>
      <c r="F196" s="19">
        <f>'Consol. Historical FS'!F193</f>
        <v>1575.73</v>
      </c>
      <c r="G196" s="19">
        <f>'Consol. Historical FS'!G193</f>
        <v>3406.32</v>
      </c>
      <c r="H196" s="77">
        <f>SUM(H192,H194:H195)</f>
        <v>11346.390398113392</v>
      </c>
      <c r="I196" s="77">
        <f t="shared" ref="I196" si="48">SUM(I192,I194:I195)</f>
        <v>20842.201717341086</v>
      </c>
    </row>
    <row r="197" spans="2:9 16377:16377">
      <c r="C197" s="77"/>
      <c r="D197" s="77"/>
      <c r="E197" s="77"/>
      <c r="F197" s="77"/>
      <c r="G197" s="77"/>
    </row>
    <row r="198" spans="2:9 16377:16377">
      <c r="B198" s="1" t="s">
        <v>172</v>
      </c>
      <c r="C198" s="19">
        <f>'Consol. Historical FS'!C195</f>
        <v>4198.04</v>
      </c>
      <c r="D198" s="19">
        <f>'Consol. Historical FS'!D195</f>
        <v>8653.02</v>
      </c>
      <c r="E198" s="19">
        <f>'Consol. Historical FS'!E195</f>
        <v>931.99</v>
      </c>
      <c r="F198" s="19">
        <f>'Consol. Historical FS'!F195</f>
        <v>1575.73</v>
      </c>
      <c r="G198" s="19">
        <f>'Consol. Historical FS'!G195</f>
        <v>3406.32</v>
      </c>
      <c r="H198" s="19">
        <f>G201</f>
        <v>3406.32</v>
      </c>
      <c r="I198" s="19">
        <f t="shared" ref="I198" si="49">H201</f>
        <v>11346.390398113392</v>
      </c>
    </row>
    <row r="199" spans="2:9 16377:16377">
      <c r="B199" s="1" t="s">
        <v>173</v>
      </c>
      <c r="C199" s="19">
        <f>'Consol. Historical FS'!C196</f>
        <v>2.930000000000291</v>
      </c>
      <c r="D199" s="19">
        <f>'Consol. Historical FS'!D196</f>
        <v>23.029999999998836</v>
      </c>
      <c r="E199" s="19">
        <f>'Consol. Historical FS'!E196</f>
        <v>4.7100000000000364</v>
      </c>
      <c r="F199" s="19">
        <f>'Consol. Historical FS'!F196</f>
        <v>0</v>
      </c>
      <c r="G199" s="19">
        <f>'Consol. Historical FS'!G196</f>
        <v>0</v>
      </c>
      <c r="H199" s="19">
        <f>G199</f>
        <v>0</v>
      </c>
      <c r="I199" s="19">
        <f t="shared" ref="I199" si="50">H199</f>
        <v>0</v>
      </c>
    </row>
    <row r="200" spans="2:9 16377:16377">
      <c r="B200" s="1" t="s">
        <v>174</v>
      </c>
      <c r="C200" s="19">
        <f>'Consol. Historical FS'!C197</f>
        <v>0</v>
      </c>
      <c r="D200" s="19">
        <f>'Consol. Historical FS'!D197</f>
        <v>0</v>
      </c>
      <c r="E200" s="19">
        <f>'Consol. Historical FS'!E197</f>
        <v>0</v>
      </c>
      <c r="F200" s="19">
        <f>'Consol. Historical FS'!F197</f>
        <v>0</v>
      </c>
      <c r="G200" s="19">
        <f>'Consol. Historical FS'!G197</f>
        <v>0</v>
      </c>
      <c r="H200" s="19">
        <f>H155</f>
        <v>0</v>
      </c>
      <c r="I200" s="19">
        <f>I155</f>
        <v>0</v>
      </c>
      <c r="XEW200" s="19"/>
    </row>
    <row r="201" spans="2:9 16377:16377">
      <c r="B201" s="4" t="s">
        <v>175</v>
      </c>
      <c r="C201" s="77">
        <f t="shared" ref="C201:G201" si="51">SUM(C198:C200)</f>
        <v>4200.97</v>
      </c>
      <c r="D201" s="77">
        <f t="shared" si="51"/>
        <v>8676.0499999999993</v>
      </c>
      <c r="E201" s="77">
        <f t="shared" si="51"/>
        <v>936.7</v>
      </c>
      <c r="F201" s="77">
        <f t="shared" si="51"/>
        <v>1575.73</v>
      </c>
      <c r="G201" s="77">
        <f t="shared" si="51"/>
        <v>3406.32</v>
      </c>
      <c r="H201" s="77">
        <f>SUM(H198:H200,H192)</f>
        <v>11346.390398113392</v>
      </c>
      <c r="I201" s="77">
        <f t="shared" ref="I201" si="52">SUM(I198:I200,I192)</f>
        <v>20842.201717341086</v>
      </c>
    </row>
    <row r="202" spans="2:9 16377:16377">
      <c r="B202" s="4"/>
      <c r="C202" s="19"/>
      <c r="D202" s="19"/>
      <c r="E202" s="19"/>
      <c r="F202" s="19"/>
      <c r="G202" s="19"/>
    </row>
    <row r="203" spans="2:9 16377:16377">
      <c r="C203" s="19"/>
      <c r="D203" s="19"/>
      <c r="E203" s="19"/>
      <c r="F203" s="19"/>
      <c r="G203" s="19"/>
    </row>
    <row r="204" spans="2:9 16377:16377">
      <c r="C204" s="19"/>
      <c r="D204" s="19"/>
      <c r="E204" s="19"/>
      <c r="F204" s="19"/>
    </row>
  </sheetData>
  <pageMargins left="0.7" right="0.7" top="0.75" bottom="0.75" header="0.3" footer="0.3"/>
  <pageSetup paperSize="9" orientation="portrait"/>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031E9-E3C2-441E-9591-CEE6536E37AB}">
  <sheetPr>
    <pageSetUpPr autoPageBreaks="0"/>
  </sheetPr>
  <dimension ref="B1:G20"/>
  <sheetViews>
    <sheetView showGridLines="0" zoomScale="93" zoomScaleNormal="85" workbookViewId="0">
      <pane ySplit="3" topLeftCell="A4" activePane="bottomLeft" state="frozen"/>
      <selection pane="bottomLeft" activeCell="J7" sqref="J7"/>
    </sheetView>
  </sheetViews>
  <sheetFormatPr defaultRowHeight="15"/>
  <cols>
    <col min="1" max="1" width="1.85546875" style="1" customWidth="1"/>
    <col min="2" max="2" width="29.85546875" style="1" customWidth="1"/>
    <col min="3" max="4" width="10.85546875" style="1" bestFit="1" customWidth="1"/>
    <col min="5" max="5" width="8.85546875" style="1" customWidth="1"/>
    <col min="6" max="6" width="10.7109375" style="1" bestFit="1" customWidth="1"/>
    <col min="7" max="7" width="8.85546875" style="1" customWidth="1"/>
    <col min="8" max="16384" width="9.140625" style="1"/>
  </cols>
  <sheetData>
    <row r="1" spans="2:7">
      <c r="G1" s="5" t="str">
        <f>[2]Scenarios!L1</f>
        <v>Currently Running: Base Case Scenario</v>
      </c>
    </row>
    <row r="2" spans="2:7" ht="18.75">
      <c r="B2" s="78" t="s">
        <v>216</v>
      </c>
      <c r="C2" s="78"/>
      <c r="D2" s="78"/>
      <c r="E2" s="78"/>
      <c r="F2" s="78"/>
      <c r="G2" s="78"/>
    </row>
    <row r="3" spans="2:7">
      <c r="B3" s="79"/>
      <c r="C3" s="80" t="str">
        <f>'3 Model Projected FS'!E3</f>
        <v>FY23A</v>
      </c>
      <c r="D3" s="80" t="str">
        <f>'3 Model Projected FS'!F3</f>
        <v>FY24A</v>
      </c>
      <c r="E3" s="80" t="str">
        <f>'3 Model Projected FS'!G3</f>
        <v>FY25A</v>
      </c>
      <c r="F3" s="80" t="s">
        <v>210</v>
      </c>
      <c r="G3" s="80" t="s">
        <v>211</v>
      </c>
    </row>
    <row r="4" spans="2:7">
      <c r="B4" s="182" t="s">
        <v>217</v>
      </c>
      <c r="C4" s="3"/>
      <c r="D4" s="3"/>
    </row>
    <row r="5" spans="2:7">
      <c r="B5" s="14" t="s">
        <v>218</v>
      </c>
      <c r="C5" s="183">
        <f>ROUND('3 Model Projected FS'!E9/'3 Model Projected FS'!D9-1,3)</f>
        <v>0.218</v>
      </c>
      <c r="D5" s="183">
        <f>ROUND('3 Model Projected FS'!F9/'3 Model Projected FS'!E9-1,3)</f>
        <v>0.28100000000000003</v>
      </c>
      <c r="E5" s="183">
        <f>ROUND('3 Model Projected FS'!G9/'3 Model Projected FS'!F9-1,3)</f>
        <v>0.14099999999999999</v>
      </c>
      <c r="F5" s="183">
        <f>ROUND('3 Model Projected FS'!H9/'3 Model Projected FS'!G9-1,3)</f>
        <v>0.24</v>
      </c>
      <c r="G5" s="183">
        <f>ROUND('3 Model Projected FS'!I9/'3 Model Projected FS'!H9-1,3)</f>
        <v>0.24199999999999999</v>
      </c>
    </row>
    <row r="6" spans="2:7">
      <c r="B6" s="14" t="s">
        <v>219</v>
      </c>
      <c r="C6" s="183">
        <f>ROUND('3 Model Projected FS'!E14/'3 Model Projected FS'!D14-1,3)</f>
        <v>0.24</v>
      </c>
      <c r="D6" s="183">
        <f>ROUND('3 Model Projected FS'!F14/'3 Model Projected FS'!E14-1,3)</f>
        <v>0.28899999999999998</v>
      </c>
      <c r="E6" s="183">
        <f>ROUND('3 Model Projected FS'!G14/'3 Model Projected FS'!F14-1,3)</f>
        <v>0.14299999999999999</v>
      </c>
      <c r="F6" s="183">
        <f>ROUND('3 Model Projected FS'!H14/'3 Model Projected FS'!G14-1,3)</f>
        <v>0.24</v>
      </c>
      <c r="G6" s="183">
        <f>ROUND('3 Model Projected FS'!I14/'3 Model Projected FS'!H14-1,3)</f>
        <v>0.247</v>
      </c>
    </row>
    <row r="7" spans="2:7">
      <c r="B7" s="14" t="s">
        <v>220</v>
      </c>
      <c r="C7" s="183">
        <f>ROUND('3 Model Projected FS'!E19/'3 Model Projected FS'!D19-1,3)</f>
        <v>0.14899999999999999</v>
      </c>
      <c r="D7" s="183">
        <f>ROUND('3 Model Projected FS'!F19/'3 Model Projected FS'!E19-1,3)</f>
        <v>0.439</v>
      </c>
      <c r="E7" s="183">
        <f>ROUND('3 Model Projected FS'!G19/'3 Model Projected FS'!F19-1,3)</f>
        <v>0.152</v>
      </c>
      <c r="F7" s="183">
        <f>ROUND('3 Model Projected FS'!H19/'3 Model Projected FS'!G19-1,3)</f>
        <v>0.25</v>
      </c>
      <c r="G7" s="183">
        <f>ROUND('3 Model Projected FS'!I19/'3 Model Projected FS'!H19-1,3)</f>
        <v>0.24399999999999999</v>
      </c>
    </row>
    <row r="8" spans="2:7">
      <c r="B8" s="14" t="s">
        <v>221</v>
      </c>
      <c r="C8" s="183">
        <f>ROUND('3 Model Projected FS'!E36/'3 Model Projected FS'!D36-1,3)</f>
        <v>8.8999999999999996E-2</v>
      </c>
      <c r="D8" s="183">
        <f>ROUND('3 Model Projected FS'!F36/'3 Model Projected FS'!E36-1,3)</f>
        <v>0.503</v>
      </c>
      <c r="E8" s="183">
        <f>ROUND('3 Model Projected FS'!G36/'3 Model Projected FS'!F36-1,3)</f>
        <v>0.36499999999999999</v>
      </c>
      <c r="F8" s="183">
        <f>ROUND('3 Model Projected FS'!H36/'3 Model Projected FS'!G36-1,3)</f>
        <v>0.26200000000000001</v>
      </c>
      <c r="G8" s="183">
        <f>ROUND('3 Model Projected FS'!I36/'3 Model Projected FS'!H36-1,3)</f>
        <v>0.28999999999999998</v>
      </c>
    </row>
    <row r="9" spans="2:7">
      <c r="B9" s="14" t="s">
        <v>222</v>
      </c>
      <c r="C9" s="183">
        <f>Graphs!D23</f>
        <v>8.2000000000000003E-2</v>
      </c>
      <c r="D9" s="183">
        <f>Graphs!E23</f>
        <v>0.12</v>
      </c>
      <c r="E9" s="183">
        <f>Graphs!F23</f>
        <v>0.13</v>
      </c>
      <c r="F9" s="183">
        <f>Graphs!G23</f>
        <v>0.155</v>
      </c>
      <c r="G9" s="183">
        <f>Graphs!H23</f>
        <v>0.17699999999999999</v>
      </c>
    </row>
    <row r="10" spans="2:7">
      <c r="B10" s="14" t="s">
        <v>223</v>
      </c>
      <c r="C10" s="183">
        <f>Graphs!D24</f>
        <v>0.121</v>
      </c>
      <c r="D10" s="183">
        <f>Graphs!E24</f>
        <v>0.16500000000000001</v>
      </c>
      <c r="E10" s="183">
        <f>Graphs!F24</f>
        <v>0.192</v>
      </c>
      <c r="F10" s="183">
        <f>Graphs!G24</f>
        <v>0.22900000000000001</v>
      </c>
      <c r="G10" s="183">
        <f>Graphs!H24</f>
        <v>0.26600000000000001</v>
      </c>
    </row>
    <row r="11" spans="2:7">
      <c r="B11" s="14" t="s">
        <v>224</v>
      </c>
      <c r="C11" s="183">
        <f>ROUND(Scenarios!H393/'3 Model Projected FS'!E39,3)</f>
        <v>0.20300000000000001</v>
      </c>
      <c r="D11" s="183">
        <f>ROUND(Scenarios!I393/'3 Model Projected FS'!F39,3)</f>
        <v>0.16</v>
      </c>
      <c r="E11" s="183">
        <f>ROUND(Scenarios!J393/'3 Model Projected FS'!G39,3)</f>
        <v>0.14000000000000001</v>
      </c>
      <c r="F11" s="183">
        <f>ROUND(Scenarios!K393/'3 Model Projected FS'!H39,3)</f>
        <v>0.15</v>
      </c>
      <c r="G11" s="183">
        <f>ROUND(Scenarios!L393/'3 Model Projected FS'!I39,3)</f>
        <v>0.155</v>
      </c>
    </row>
    <row r="12" spans="2:7">
      <c r="B12" s="14" t="s">
        <v>225</v>
      </c>
      <c r="C12" s="184">
        <f>Scenarios!H395</f>
        <v>24.58</v>
      </c>
      <c r="D12" s="184">
        <f>Scenarios!I395</f>
        <v>37.549999999999997</v>
      </c>
      <c r="E12" s="184">
        <f>Scenarios!J395</f>
        <v>51.35</v>
      </c>
      <c r="F12" s="184">
        <f>Scenarios!K395</f>
        <v>64.81</v>
      </c>
      <c r="G12" s="184">
        <f>Scenarios!L395</f>
        <v>83.63</v>
      </c>
    </row>
    <row r="13" spans="2:7">
      <c r="B13" s="14" t="s">
        <v>226</v>
      </c>
      <c r="C13" s="1">
        <f>Graphs!D10</f>
        <v>0.5</v>
      </c>
      <c r="D13" s="1">
        <f>Graphs!E10</f>
        <v>0.3</v>
      </c>
      <c r="E13" s="1">
        <f>Graphs!F10</f>
        <v>0.3</v>
      </c>
      <c r="F13" s="1">
        <f>Graphs!G10</f>
        <v>0.4</v>
      </c>
      <c r="G13" s="1">
        <f>Graphs!H10</f>
        <v>0.4</v>
      </c>
    </row>
    <row r="14" spans="2:7">
      <c r="B14" s="14" t="s">
        <v>227</v>
      </c>
      <c r="C14" s="1">
        <f>C15+C16-C17</f>
        <v>-22</v>
      </c>
      <c r="D14" s="1">
        <f t="shared" ref="D14:G14" si="0">D15+D16-D17</f>
        <v>-25</v>
      </c>
      <c r="E14" s="1">
        <f t="shared" si="0"/>
        <v>-34</v>
      </c>
      <c r="F14" s="1">
        <f t="shared" si="0"/>
        <v>-30</v>
      </c>
      <c r="G14" s="1">
        <f t="shared" si="0"/>
        <v>-34</v>
      </c>
    </row>
    <row r="15" spans="2:7">
      <c r="B15" s="16" t="s">
        <v>228</v>
      </c>
      <c r="C15" s="1">
        <f>Graphs!D17</f>
        <v>48</v>
      </c>
      <c r="D15" s="1">
        <f>Graphs!E17</f>
        <v>47</v>
      </c>
      <c r="E15" s="1">
        <f>Graphs!F17</f>
        <v>49</v>
      </c>
      <c r="F15" s="1">
        <f>Graphs!G17</f>
        <v>48</v>
      </c>
      <c r="G15" s="1">
        <f>Graphs!H17</f>
        <v>47</v>
      </c>
    </row>
    <row r="16" spans="2:7">
      <c r="B16" s="16" t="s">
        <v>229</v>
      </c>
      <c r="C16" s="1">
        <f>Graphs!D21</f>
        <v>27</v>
      </c>
      <c r="D16" s="1">
        <f>Graphs!E21</f>
        <v>23</v>
      </c>
      <c r="E16" s="1">
        <f>Graphs!F21</f>
        <v>22</v>
      </c>
      <c r="F16" s="1">
        <f>Graphs!G21</f>
        <v>23</v>
      </c>
      <c r="G16" s="1">
        <f>Graphs!H21</f>
        <v>23</v>
      </c>
    </row>
    <row r="17" spans="2:7">
      <c r="B17" s="16" t="s">
        <v>230</v>
      </c>
      <c r="C17" s="1">
        <f>Graphs!D19</f>
        <v>97</v>
      </c>
      <c r="D17" s="1">
        <f>Graphs!E19</f>
        <v>95</v>
      </c>
      <c r="E17" s="1">
        <f>Graphs!F19</f>
        <v>105</v>
      </c>
      <c r="F17" s="1">
        <f>Graphs!G19</f>
        <v>101</v>
      </c>
      <c r="G17" s="1">
        <f>Graphs!H19</f>
        <v>104</v>
      </c>
    </row>
    <row r="18" spans="2:7">
      <c r="B18" s="14" t="s">
        <v>231</v>
      </c>
      <c r="C18" s="184">
        <f>ROUND((SUM('3 Model Projected FS'!E88,'3 Model Projected FS'!E100)-SUM('3 Model Projected FS'!E67:E68))/'3 Model Projected FS'!E82,1)</f>
        <v>1</v>
      </c>
      <c r="D18" s="184">
        <f>ROUND((SUM('3 Model Projected FS'!F88,'3 Model Projected FS'!F100)-SUM('3 Model Projected FS'!F67:F68))/'3 Model Projected FS'!F82,1)</f>
        <v>0.7</v>
      </c>
      <c r="E18" s="184">
        <f>ROUND((SUM('3 Model Projected FS'!G88,'3 Model Projected FS'!G100)-SUM('3 Model Projected FS'!G67:G68))/'3 Model Projected FS'!G82,1)</f>
        <v>0.6</v>
      </c>
      <c r="F18" s="184">
        <f>ROUND((SUM('3 Model Projected FS'!H88,'3 Model Projected FS'!H100)-SUM('3 Model Projected FS'!H67:H68))/'3 Model Projected FS'!H82,1)</f>
        <v>0.6</v>
      </c>
      <c r="G18" s="184">
        <f>ROUND((SUM('3 Model Projected FS'!I88,'3 Model Projected FS'!I100)-SUM('3 Model Projected FS'!I67:I68))/'3 Model Projected FS'!I82,1)</f>
        <v>0.5</v>
      </c>
    </row>
    <row r="19" spans="2:7">
      <c r="B19" s="14" t="s">
        <v>232</v>
      </c>
      <c r="C19" s="1">
        <f>ROUND('3 Model Projected FS'!E22/'3 Model Projected FS'!E23,1)</f>
        <v>3.2</v>
      </c>
      <c r="D19" s="1">
        <f>ROUND('3 Model Projected FS'!F22/'3 Model Projected FS'!F23,1)</f>
        <v>4.3</v>
      </c>
      <c r="E19" s="1">
        <f>ROUND('3 Model Projected FS'!G22/'3 Model Projected FS'!G23,1)</f>
        <v>5.4</v>
      </c>
      <c r="F19" s="1">
        <f>ROUND('3 Model Projected FS'!H22/'3 Model Projected FS'!H23,1)</f>
        <v>5.7</v>
      </c>
      <c r="G19" s="1">
        <f>ROUND('3 Model Projected FS'!I22/'3 Model Projected FS'!I23,1)</f>
        <v>6</v>
      </c>
    </row>
    <row r="20" spans="2:7">
      <c r="B20" s="14" t="s">
        <v>233</v>
      </c>
      <c r="C20" s="183">
        <f>ROUND('3 Model Projected FS'!E156/'3 Model Projected FS'!E19,3)</f>
        <v>1.0900000000000001</v>
      </c>
      <c r="D20" s="183">
        <f>ROUND('3 Model Projected FS'!F156/'3 Model Projected FS'!F19,3)</f>
        <v>0.95299999999999996</v>
      </c>
      <c r="E20" s="183">
        <f>ROUND('3 Model Projected FS'!G156/'3 Model Projected FS'!G19,3)</f>
        <v>0.95</v>
      </c>
      <c r="F20" s="183">
        <f>ROUND('3 Model Projected FS'!H156/'3 Model Projected FS'!H19,3)</f>
        <v>0.92600000000000005</v>
      </c>
      <c r="G20" s="183">
        <f>ROUND('3 Model Projected FS'!I156/'3 Model Projected FS'!I19,3)</f>
        <v>0.93700000000000006</v>
      </c>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7DFEC-3E5B-4639-9878-7282B29F50FB}">
  <sheetPr>
    <pageSetUpPr autoPageBreaks="0"/>
  </sheetPr>
  <dimension ref="A1:L96"/>
  <sheetViews>
    <sheetView showGridLines="0" zoomScale="105" zoomScaleNormal="110" workbookViewId="0">
      <pane ySplit="3" topLeftCell="A76" activePane="bottomLeft" state="frozen"/>
      <selection pane="bottomLeft" activeCell="H88" sqref="H88"/>
      <selection activeCell="C21" sqref="C21"/>
    </sheetView>
  </sheetViews>
  <sheetFormatPr defaultColWidth="9.140625" defaultRowHeight="15"/>
  <cols>
    <col min="1" max="1" width="1.85546875" style="1" customWidth="1"/>
    <col min="2" max="2" width="58.85546875" style="1" customWidth="1"/>
    <col min="3" max="5" width="8.85546875" style="1" hidden="1" customWidth="1"/>
    <col min="6" max="6" width="10.85546875" style="1" bestFit="1" customWidth="1"/>
    <col min="7" max="7" width="8.85546875" style="1" customWidth="1"/>
    <col min="8" max="8" width="9.140625" style="1"/>
    <col min="9" max="9" width="8.85546875" style="1" customWidth="1"/>
    <col min="10" max="16384" width="9.140625" style="1"/>
  </cols>
  <sheetData>
    <row r="1" spans="1:12">
      <c r="I1" s="5" t="str">
        <f>[2]Scenarios!L1</f>
        <v>Currently Running: Base Case Scenario</v>
      </c>
    </row>
    <row r="2" spans="1:12" ht="18.75">
      <c r="B2" s="78" t="s">
        <v>234</v>
      </c>
      <c r="C2" s="78"/>
      <c r="D2" s="78"/>
      <c r="E2" s="78"/>
      <c r="F2" s="78"/>
      <c r="G2" s="78"/>
      <c r="H2" s="78"/>
      <c r="I2" s="78"/>
    </row>
    <row r="3" spans="1:12">
      <c r="B3" s="79" t="s">
        <v>2</v>
      </c>
      <c r="C3" s="80" t="e" vm="1">
        <f>[2]Consol!C3</f>
        <v>#VALUE!</v>
      </c>
      <c r="D3" s="80" t="e" vm="1">
        <f>[2]Consol!D3</f>
        <v>#VALUE!</v>
      </c>
      <c r="E3" s="80" t="e" vm="1">
        <f>[2]Consol!E3</f>
        <v>#VALUE!</v>
      </c>
      <c r="F3" s="80" t="s">
        <v>6</v>
      </c>
      <c r="G3" s="80" t="s">
        <v>7</v>
      </c>
      <c r="H3" s="80" t="s">
        <v>210</v>
      </c>
      <c r="I3" s="80" t="s">
        <v>211</v>
      </c>
    </row>
    <row r="4" spans="1:12">
      <c r="B4" s="2"/>
      <c r="C4" s="3"/>
      <c r="D4" s="3"/>
      <c r="E4" s="3"/>
      <c r="F4" s="3"/>
    </row>
    <row r="5" spans="1:12">
      <c r="A5" s="81" t="s">
        <v>8</v>
      </c>
      <c r="B5" s="81" t="s">
        <v>9</v>
      </c>
      <c r="C5" s="82"/>
      <c r="D5" s="82"/>
      <c r="E5" s="82"/>
      <c r="F5" s="82"/>
      <c r="G5" s="82"/>
      <c r="H5" s="82"/>
      <c r="I5" s="82"/>
    </row>
    <row r="6" spans="1:12">
      <c r="A6" s="4"/>
      <c r="B6" s="4"/>
      <c r="C6" s="5"/>
      <c r="D6" s="5"/>
      <c r="E6" s="5"/>
      <c r="F6" s="5"/>
      <c r="I6" s="5"/>
    </row>
    <row r="7" spans="1:12">
      <c r="B7" s="1" t="s">
        <v>12</v>
      </c>
      <c r="C7" s="19">
        <f>'3 Model Projected FS'!C9</f>
        <v>12549.6</v>
      </c>
      <c r="D7" s="19">
        <f>'3 Model Projected FS'!D9</f>
        <v>17118.79</v>
      </c>
      <c r="E7" s="19">
        <f>'3 Model Projected FS'!E9</f>
        <v>20851.91</v>
      </c>
      <c r="F7" s="19">
        <f>'3 Model Projected FS'!F9</f>
        <v>26710.560000000001</v>
      </c>
      <c r="G7" s="19">
        <f>'3 Model Projected FS'!G9</f>
        <v>30475.33</v>
      </c>
      <c r="H7" s="19">
        <f>'3 Model Projected FS'!H9</f>
        <v>37803.279999999999</v>
      </c>
      <c r="I7" s="19">
        <f>'3 Model Projected FS'!I9</f>
        <v>46945.27</v>
      </c>
    </row>
    <row r="8" spans="1:12">
      <c r="B8" s="175" t="s">
        <v>212</v>
      </c>
      <c r="C8" s="176"/>
      <c r="D8" s="177">
        <f>ROUND(D7/C7-1,3)</f>
        <v>0.36399999999999999</v>
      </c>
      <c r="E8" s="177">
        <f t="shared" ref="E8:I8" si="0">ROUND(E7/D7-1,3)</f>
        <v>0.218</v>
      </c>
      <c r="F8" s="177">
        <f t="shared" ref="F8" si="1">ROUND(F7/E7-1,3)</f>
        <v>0.28100000000000003</v>
      </c>
      <c r="G8" s="177">
        <f t="shared" si="0"/>
        <v>0.14099999999999999</v>
      </c>
      <c r="H8" s="177">
        <f t="shared" si="0"/>
        <v>0.24</v>
      </c>
      <c r="I8" s="177">
        <f t="shared" si="0"/>
        <v>0.24199999999999999</v>
      </c>
    </row>
    <row r="9" spans="1:12">
      <c r="B9" s="1" t="s">
        <v>235</v>
      </c>
      <c r="C9" s="19">
        <f>ROUND(SUM('3 Model Projected FS'!C11:C13),2)</f>
        <v>3259.49</v>
      </c>
      <c r="D9" s="19">
        <f>ROUND(SUM('3 Model Projected FS'!D11:D13),2)</f>
        <v>4865.1099999999997</v>
      </c>
      <c r="E9" s="19">
        <f>ROUND(SUM('3 Model Projected FS'!E11:E13),2)</f>
        <v>5654.56</v>
      </c>
      <c r="F9" s="19">
        <f>ROUND(SUM('3 Model Projected FS'!F11:F13),2)</f>
        <v>7116.34</v>
      </c>
      <c r="G9" s="19">
        <f>ROUND(SUM('3 Model Projected FS'!G11:G13),2)</f>
        <v>8069.75</v>
      </c>
      <c r="H9" s="19">
        <f>ROUND(SUM('3 Model Projected FS'!H11:H13),2)</f>
        <v>10017.870000000001</v>
      </c>
      <c r="I9" s="19">
        <f>ROUND(SUM('3 Model Projected FS'!I11:I13),2)</f>
        <v>12299.66</v>
      </c>
    </row>
    <row r="10" spans="1:12">
      <c r="B10" s="7" t="s">
        <v>14</v>
      </c>
      <c r="C10" s="8">
        <f t="shared" ref="C10:I10" si="2">ROUND(C7-SUM(C9:C9),2)</f>
        <v>9290.11</v>
      </c>
      <c r="D10" s="8">
        <f t="shared" si="2"/>
        <v>12253.68</v>
      </c>
      <c r="E10" s="8">
        <f t="shared" si="2"/>
        <v>15197.35</v>
      </c>
      <c r="F10" s="8">
        <f t="shared" si="2"/>
        <v>19594.22</v>
      </c>
      <c r="G10" s="8">
        <f t="shared" si="2"/>
        <v>22405.58</v>
      </c>
      <c r="H10" s="8">
        <f t="shared" si="2"/>
        <v>27785.41</v>
      </c>
      <c r="I10" s="8">
        <f t="shared" si="2"/>
        <v>34645.61</v>
      </c>
    </row>
    <row r="11" spans="1:12">
      <c r="B11" s="175" t="s">
        <v>192</v>
      </c>
      <c r="C11" s="177">
        <f t="shared" ref="C11:I11" si="3">ROUND(C10/C7,3)</f>
        <v>0.74</v>
      </c>
      <c r="D11" s="177">
        <f t="shared" si="3"/>
        <v>0.71599999999999997</v>
      </c>
      <c r="E11" s="177">
        <f t="shared" si="3"/>
        <v>0.72899999999999998</v>
      </c>
      <c r="F11" s="177">
        <f t="shared" si="3"/>
        <v>0.73399999999999999</v>
      </c>
      <c r="G11" s="177">
        <f t="shared" si="3"/>
        <v>0.73499999999999999</v>
      </c>
      <c r="H11" s="177">
        <f t="shared" si="3"/>
        <v>0.73499999999999999</v>
      </c>
      <c r="I11" s="177">
        <f t="shared" si="3"/>
        <v>0.73799999999999999</v>
      </c>
    </row>
    <row r="12" spans="1:12">
      <c r="B12" s="1" t="s">
        <v>13</v>
      </c>
      <c r="C12" s="19">
        <f>ROUND(SUM('3 Model Projected FS'!C16,'3 Model Projected FS'!C18),2)</f>
        <v>591.42999999999995</v>
      </c>
      <c r="D12" s="19">
        <f>ROUND(SUM('3 Model Projected FS'!D16,'3 Model Projected FS'!D18),2)</f>
        <v>2729.24</v>
      </c>
      <c r="E12" s="19">
        <f>ROUND(SUM('3 Model Projected FS'!E16,'3 Model Projected FS'!E18),2)</f>
        <v>4250.22</v>
      </c>
      <c r="F12" s="19">
        <f>ROUND(SUM('3 Model Projected FS'!F16,'3 Model Projected FS'!F18),2)</f>
        <v>3843.12</v>
      </c>
      <c r="G12" s="19">
        <f>ROUND(SUM('3 Model Projected FS'!G16,'3 Model Projected FS'!G18),2)</f>
        <v>4265.0600000000004</v>
      </c>
      <c r="H12" s="19">
        <f>ROUND(SUM('3 Model Projected FS'!H16,'3 Model Projected FS'!H18),2)</f>
        <v>5103.45</v>
      </c>
      <c r="I12" s="19">
        <f>ROUND(SUM('3 Model Projected FS'!I16,'3 Model Projected FS'!I18),2)</f>
        <v>6431.5</v>
      </c>
    </row>
    <row r="13" spans="1:12">
      <c r="B13" s="1" t="s">
        <v>16</v>
      </c>
      <c r="C13" s="19">
        <f>'3 Model Projected FS'!C17</f>
        <v>0</v>
      </c>
      <c r="D13" s="19">
        <f>'3 Model Projected FS'!D17</f>
        <v>0</v>
      </c>
      <c r="E13" s="19">
        <f>'3 Model Projected FS'!E17</f>
        <v>0</v>
      </c>
      <c r="F13" s="19">
        <f>'3 Model Projected FS'!F17</f>
        <v>0</v>
      </c>
      <c r="G13" s="19">
        <f>'3 Model Projected FS'!G17</f>
        <v>0</v>
      </c>
      <c r="H13" s="19">
        <f>'3 Model Projected FS'!H17</f>
        <v>0</v>
      </c>
      <c r="I13" s="19">
        <f>'3 Model Projected FS'!I17</f>
        <v>0</v>
      </c>
    </row>
    <row r="14" spans="1:12">
      <c r="B14" s="7" t="s">
        <v>18</v>
      </c>
      <c r="C14" s="8">
        <f t="shared" ref="C14:I14" si="4">ROUND(C10-SUM(C12:C13),2)</f>
        <v>8698.68</v>
      </c>
      <c r="D14" s="8">
        <f t="shared" si="4"/>
        <v>9524.44</v>
      </c>
      <c r="E14" s="8">
        <f t="shared" si="4"/>
        <v>10947.13</v>
      </c>
      <c r="F14" s="8">
        <f t="shared" si="4"/>
        <v>15751.1</v>
      </c>
      <c r="G14" s="8">
        <f t="shared" si="4"/>
        <v>18140.52</v>
      </c>
      <c r="H14" s="8">
        <f t="shared" si="4"/>
        <v>22681.96</v>
      </c>
      <c r="I14" s="8">
        <f t="shared" si="4"/>
        <v>28214.11</v>
      </c>
    </row>
    <row r="15" spans="1:12">
      <c r="B15" s="175" t="s">
        <v>193</v>
      </c>
      <c r="C15" s="177">
        <f t="shared" ref="C15:I15" si="5">ROUND(C14/C7,3)</f>
        <v>0.69299999999999995</v>
      </c>
      <c r="D15" s="177">
        <f t="shared" si="5"/>
        <v>0.55600000000000005</v>
      </c>
      <c r="E15" s="177">
        <f t="shared" si="5"/>
        <v>0.52500000000000002</v>
      </c>
      <c r="F15" s="177">
        <f t="shared" si="5"/>
        <v>0.59</v>
      </c>
      <c r="G15" s="177">
        <f t="shared" si="5"/>
        <v>0.59499999999999997</v>
      </c>
      <c r="H15" s="177">
        <f t="shared" si="5"/>
        <v>0.6</v>
      </c>
      <c r="I15" s="177">
        <f t="shared" si="5"/>
        <v>0.60099999999999998</v>
      </c>
    </row>
    <row r="16" spans="1:12">
      <c r="B16" s="1" t="s">
        <v>19</v>
      </c>
      <c r="C16" s="19">
        <f>'3 Model Projected FS'!C21</f>
        <v>2107.34</v>
      </c>
      <c r="D16" s="19">
        <f>'3 Model Projected FS'!D21</f>
        <v>3099.3</v>
      </c>
      <c r="E16" s="19">
        <f>'3 Model Projected FS'!E21</f>
        <v>3423.24</v>
      </c>
      <c r="F16" s="19">
        <f>'3 Model Projected FS'!F21</f>
        <v>3888.46</v>
      </c>
      <c r="G16" s="19">
        <f>'3 Model Projected FS'!G21</f>
        <v>4378.93</v>
      </c>
      <c r="H16" s="19">
        <f>'3 Model Projected FS'!H21</f>
        <v>5229.0036928999116</v>
      </c>
      <c r="I16" s="19">
        <f>'3 Model Projected FS'!I21</f>
        <v>5925.2319261248895</v>
      </c>
      <c r="K16" s="19"/>
      <c r="L16" s="19"/>
    </row>
    <row r="17" spans="2:9">
      <c r="B17" s="7" t="s">
        <v>20</v>
      </c>
      <c r="C17" s="8">
        <f>ROUND(C14-C16,2)</f>
        <v>6591.34</v>
      </c>
      <c r="D17" s="8">
        <f t="shared" ref="D17:I17" si="6">ROUND(D14-D16,2)</f>
        <v>6425.14</v>
      </c>
      <c r="E17" s="8">
        <f t="shared" si="6"/>
        <v>7523.89</v>
      </c>
      <c r="F17" s="8">
        <f t="shared" si="6"/>
        <v>11862.64</v>
      </c>
      <c r="G17" s="8">
        <f t="shared" si="6"/>
        <v>13761.59</v>
      </c>
      <c r="H17" s="8">
        <f t="shared" si="6"/>
        <v>17452.96</v>
      </c>
      <c r="I17" s="8">
        <f t="shared" si="6"/>
        <v>22288.880000000001</v>
      </c>
    </row>
    <row r="18" spans="2:9">
      <c r="B18" s="1" t="s">
        <v>21</v>
      </c>
      <c r="C18" s="19">
        <f>'3 Model Projected FS'!C23</f>
        <v>2255.29</v>
      </c>
      <c r="D18" s="19">
        <f>'3 Model Projected FS'!D23</f>
        <v>2543.92</v>
      </c>
      <c r="E18" s="19">
        <f>'3 Model Projected FS'!E23</f>
        <v>2362.64</v>
      </c>
      <c r="F18" s="19">
        <f>'3 Model Projected FS'!F23</f>
        <v>2732.94</v>
      </c>
      <c r="G18" s="19">
        <f>'3 Model Projected FS'!G23</f>
        <v>2531.8200000000002</v>
      </c>
      <c r="H18" s="19">
        <f>'3 Model Projected FS'!H23</f>
        <v>3063.5021999999999</v>
      </c>
      <c r="I18" s="19">
        <f>'3 Model Projected FS'!I23</f>
        <v>3706.8376619999999</v>
      </c>
    </row>
    <row r="19" spans="2:9">
      <c r="B19" s="1" t="s">
        <v>22</v>
      </c>
      <c r="C19" s="19">
        <f>'3 Model Projected FS'!C24</f>
        <v>1970.23</v>
      </c>
      <c r="D19" s="19">
        <f>'3 Model Projected FS'!D24</f>
        <v>2223.7199999999998</v>
      </c>
      <c r="E19" s="19">
        <f>'3 Model Projected FS'!E24</f>
        <v>1553.48</v>
      </c>
      <c r="F19" s="19">
        <f>'3 Model Projected FS'!F24</f>
        <v>1499.42</v>
      </c>
      <c r="G19" s="19">
        <f>'3 Model Projected FS'!G24</f>
        <v>1907.75</v>
      </c>
      <c r="H19" s="19">
        <f>'3 Model Projected FS'!H24</f>
        <v>2268.1999999999998</v>
      </c>
      <c r="I19" s="19">
        <f>'3 Model Projected FS'!I24</f>
        <v>2910.61</v>
      </c>
    </row>
    <row r="20" spans="2:9">
      <c r="B20" s="7" t="s">
        <v>23</v>
      </c>
      <c r="C20" s="8">
        <f>ROUND(C17-C18+C19,2)</f>
        <v>6306.28</v>
      </c>
      <c r="D20" s="8">
        <f t="shared" ref="D20:I20" si="7">ROUND(D17-D18+D19,2)</f>
        <v>6104.94</v>
      </c>
      <c r="E20" s="8">
        <f t="shared" si="7"/>
        <v>6714.73</v>
      </c>
      <c r="F20" s="8">
        <f t="shared" si="7"/>
        <v>10629.12</v>
      </c>
      <c r="G20" s="8">
        <f t="shared" si="7"/>
        <v>13137.52</v>
      </c>
      <c r="H20" s="8">
        <f t="shared" si="7"/>
        <v>16657.66</v>
      </c>
      <c r="I20" s="8">
        <f t="shared" si="7"/>
        <v>21492.65</v>
      </c>
    </row>
    <row r="21" spans="2:9">
      <c r="B21" s="1" t="s">
        <v>24</v>
      </c>
      <c r="C21" s="19">
        <f>'3 Model Projected FS'!C26</f>
        <v>-14.27</v>
      </c>
      <c r="D21" s="19">
        <f>'3 Model Projected FS'!D26</f>
        <v>17.39</v>
      </c>
      <c r="E21" s="19">
        <f>'3 Model Projected FS'!E26</f>
        <v>47.78</v>
      </c>
      <c r="F21" s="19">
        <f>'3 Model Projected FS'!F26</f>
        <v>-161.69</v>
      </c>
      <c r="G21" s="19">
        <f>'3 Model Projected FS'!G26</f>
        <v>141.56</v>
      </c>
      <c r="H21" s="19">
        <f>'3 Model Projected FS'!H26</f>
        <v>0</v>
      </c>
      <c r="I21" s="19">
        <f>'3 Model Projected FS'!I26</f>
        <v>0</v>
      </c>
    </row>
    <row r="22" spans="2:9">
      <c r="B22" s="7" t="s">
        <v>25</v>
      </c>
      <c r="C22" s="8">
        <f>ROUND(SUM(C20:C21),2)</f>
        <v>6292.01</v>
      </c>
      <c r="D22" s="8">
        <f>ROUND(D19-D21,2)</f>
        <v>2206.33</v>
      </c>
      <c r="E22" s="8">
        <f t="shared" ref="E22:I22" si="8">ROUND(SUM(E20:E21),2)</f>
        <v>6762.51</v>
      </c>
      <c r="F22" s="8">
        <f t="shared" si="8"/>
        <v>10467.43</v>
      </c>
      <c r="G22" s="8">
        <f t="shared" si="8"/>
        <v>13279.08</v>
      </c>
      <c r="H22" s="8">
        <f t="shared" si="8"/>
        <v>16657.66</v>
      </c>
      <c r="I22" s="8">
        <f t="shared" si="8"/>
        <v>21492.65</v>
      </c>
    </row>
    <row r="23" spans="2:9">
      <c r="B23" s="1" t="s">
        <v>26</v>
      </c>
      <c r="C23" s="19">
        <f>'3 Model Projected FS'!C28</f>
        <v>0</v>
      </c>
      <c r="D23" s="19">
        <f>'3 Model Projected FS'!D28</f>
        <v>-405.19</v>
      </c>
      <c r="E23" s="19">
        <f>'3 Model Projected FS'!E28</f>
        <v>-1273.3800000000001</v>
      </c>
      <c r="F23" s="19">
        <f>'3 Model Projected FS'!F28</f>
        <v>-373.7</v>
      </c>
      <c r="G23" s="19">
        <f>'3 Model Projected FS'!G28</f>
        <v>-249.46</v>
      </c>
      <c r="H23" s="19">
        <f>'3 Model Projected FS'!H28</f>
        <v>-37.799999999999997</v>
      </c>
      <c r="I23" s="19">
        <f>'3 Model Projected FS'!I28</f>
        <v>-46.95</v>
      </c>
    </row>
    <row r="24" spans="2:9">
      <c r="B24" s="7" t="s">
        <v>27</v>
      </c>
      <c r="C24" s="8">
        <f>ROUND(SUM(C22:C23),2)</f>
        <v>6292.01</v>
      </c>
      <c r="D24" s="8">
        <f t="shared" ref="D24:I24" si="9">ROUND(SUM(D22:D23),2)</f>
        <v>1801.14</v>
      </c>
      <c r="E24" s="8">
        <f t="shared" si="9"/>
        <v>5489.13</v>
      </c>
      <c r="F24" s="8">
        <f t="shared" si="9"/>
        <v>10093.73</v>
      </c>
      <c r="G24" s="8">
        <f t="shared" si="9"/>
        <v>13029.62</v>
      </c>
      <c r="H24" s="8">
        <f t="shared" si="9"/>
        <v>16619.86</v>
      </c>
      <c r="I24" s="8">
        <f t="shared" si="9"/>
        <v>21445.7</v>
      </c>
    </row>
    <row r="25" spans="2:9">
      <c r="B25" s="1" t="s">
        <v>213</v>
      </c>
      <c r="C25" s="19">
        <f>'3 Model Projected FS'!C30</f>
        <v>1243.2700000000002</v>
      </c>
      <c r="D25" s="19">
        <f>'3 Model Projected FS'!D30</f>
        <v>763.96</v>
      </c>
      <c r="E25" s="19">
        <f>'3 Model Projected FS'!E30</f>
        <v>96.38</v>
      </c>
      <c r="F25" s="19">
        <f>'3 Model Projected FS'!F30</f>
        <v>1989.7400000000002</v>
      </c>
      <c r="G25" s="19">
        <f>'3 Model Projected FS'!G30</f>
        <v>1968.36</v>
      </c>
      <c r="H25" s="19">
        <f>'3 Model Projected FS'!H30</f>
        <v>2659.18</v>
      </c>
      <c r="I25" s="19">
        <f>'3 Model Projected FS'!I30</f>
        <v>3431.31</v>
      </c>
    </row>
    <row r="26" spans="2:9">
      <c r="B26" s="175" t="s">
        <v>214</v>
      </c>
      <c r="C26" s="177">
        <f>ROUND(C25/C24,3)</f>
        <v>0.19800000000000001</v>
      </c>
      <c r="D26" s="177">
        <f>ROUND(D25/D24,3)</f>
        <v>0.42399999999999999</v>
      </c>
      <c r="E26" s="177">
        <f t="shared" ref="E26:I26" si="10">ROUND(E25/E24,3)</f>
        <v>1.7999999999999999E-2</v>
      </c>
      <c r="F26" s="177">
        <f t="shared" si="10"/>
        <v>0.19700000000000001</v>
      </c>
      <c r="G26" s="177">
        <f>ROUND(G25/G24,3)</f>
        <v>0.151</v>
      </c>
      <c r="H26" s="177">
        <f t="shared" si="10"/>
        <v>0.16</v>
      </c>
      <c r="I26" s="177">
        <f t="shared" si="10"/>
        <v>0.16</v>
      </c>
    </row>
    <row r="27" spans="2:9">
      <c r="B27" s="7" t="s">
        <v>35</v>
      </c>
      <c r="C27" s="8">
        <f>'3 Model Projected FS'!C36</f>
        <v>5048.74</v>
      </c>
      <c r="D27" s="8">
        <f>'3 Model Projected FS'!D36</f>
        <v>4953.18</v>
      </c>
      <c r="E27" s="8">
        <f>'3 Model Projected FS'!E36</f>
        <v>5392.75</v>
      </c>
      <c r="F27" s="8">
        <f>'3 Model Projected FS'!F36</f>
        <v>8103.99</v>
      </c>
      <c r="G27" s="8">
        <f>'3 Model Projected FS'!G36</f>
        <v>11061.26</v>
      </c>
      <c r="H27" s="8">
        <f>'3 Model Projected FS'!H36</f>
        <v>13960.68</v>
      </c>
      <c r="I27" s="8">
        <f>'3 Model Projected FS'!I36</f>
        <v>18014.39</v>
      </c>
    </row>
    <row r="28" spans="2:9">
      <c r="B28" s="178" t="s">
        <v>215</v>
      </c>
      <c r="C28" s="179">
        <f t="shared" ref="C28:I28" si="11">ROUND(C27/C7,3)</f>
        <v>0.40200000000000002</v>
      </c>
      <c r="D28" s="179">
        <f t="shared" si="11"/>
        <v>0.28899999999999998</v>
      </c>
      <c r="E28" s="179">
        <f t="shared" si="11"/>
        <v>0.25900000000000001</v>
      </c>
      <c r="F28" s="179">
        <f t="shared" si="11"/>
        <v>0.30299999999999999</v>
      </c>
      <c r="G28" s="179">
        <f t="shared" si="11"/>
        <v>0.36299999999999999</v>
      </c>
      <c r="H28" s="179">
        <f t="shared" si="11"/>
        <v>0.36899999999999999</v>
      </c>
      <c r="I28" s="179">
        <f t="shared" si="11"/>
        <v>0.38400000000000001</v>
      </c>
    </row>
    <row r="29" spans="2:9">
      <c r="B29" s="14" t="s">
        <v>36</v>
      </c>
      <c r="F29" s="15"/>
    </row>
    <row r="30" spans="2:9">
      <c r="B30" s="16" t="s">
        <v>37</v>
      </c>
      <c r="C30" s="19">
        <f>'3 Model Projected FS'!C39</f>
        <v>4994.3</v>
      </c>
      <c r="D30" s="19">
        <f>'3 Model Projected FS'!D39</f>
        <v>4886.03</v>
      </c>
      <c r="E30" s="19">
        <f>'3 Model Projected FS'!E39</f>
        <v>5310.18</v>
      </c>
      <c r="F30" s="19">
        <f>'3 Model Projected FS'!F39</f>
        <v>8110.64</v>
      </c>
      <c r="G30" s="19">
        <f>'3 Model Projected FS'!G39</f>
        <v>11092.31</v>
      </c>
      <c r="H30" s="19">
        <f>'3 Model Projected FS'!H39</f>
        <v>13999.87</v>
      </c>
      <c r="I30" s="19">
        <f>'3 Model Projected FS'!I39</f>
        <v>18064.96</v>
      </c>
    </row>
    <row r="31" spans="2:9">
      <c r="B31" s="16" t="s">
        <v>38</v>
      </c>
      <c r="C31" s="19">
        <f>'3 Model Projected FS'!C40</f>
        <v>54.44</v>
      </c>
      <c r="D31" s="19">
        <f>'3 Model Projected FS'!D40</f>
        <v>67.150000000000006</v>
      </c>
      <c r="E31" s="19">
        <f>'3 Model Projected FS'!E40</f>
        <v>82.57</v>
      </c>
      <c r="F31" s="19">
        <f>'3 Model Projected FS'!F40</f>
        <v>-6.65</v>
      </c>
      <c r="G31" s="19">
        <f>'3 Model Projected FS'!G40</f>
        <v>-31.05</v>
      </c>
      <c r="H31" s="19">
        <f>'3 Model Projected FS'!H40</f>
        <v>-39.19</v>
      </c>
      <c r="I31" s="19">
        <f>'3 Model Projected FS'!I40</f>
        <v>-50.57</v>
      </c>
    </row>
    <row r="32" spans="2:9">
      <c r="B32" s="18"/>
      <c r="F32" s="15"/>
    </row>
    <row r="33" spans="1:9">
      <c r="A33" s="81" t="s">
        <v>8</v>
      </c>
      <c r="B33" s="81" t="s">
        <v>39</v>
      </c>
      <c r="C33" s="82"/>
      <c r="D33" s="82"/>
      <c r="E33" s="82"/>
      <c r="F33" s="82"/>
      <c r="G33" s="82"/>
      <c r="H33" s="82"/>
      <c r="I33" s="82"/>
    </row>
    <row r="35" spans="1:9">
      <c r="B35" s="181" t="s">
        <v>40</v>
      </c>
    </row>
    <row r="36" spans="1:9">
      <c r="B36" s="4" t="s">
        <v>41</v>
      </c>
    </row>
    <row r="37" spans="1:9">
      <c r="B37" s="1" t="s">
        <v>42</v>
      </c>
      <c r="C37" s="19">
        <f>'3 Model Projected FS'!C46</f>
        <v>36791.51</v>
      </c>
      <c r="D37" s="19">
        <f>'3 Model Projected FS'!D46</f>
        <v>41488.699999999997</v>
      </c>
      <c r="E37" s="19">
        <f>'3 Model Projected FS'!E46</f>
        <v>48414</v>
      </c>
      <c r="F37" s="19">
        <f>'3 Model Projected FS'!F46</f>
        <v>51803.83</v>
      </c>
      <c r="G37" s="19">
        <f>'3 Model Projected FS'!G46</f>
        <v>62394.43</v>
      </c>
      <c r="H37" s="19">
        <f>'3 Model Projected FS'!H46</f>
        <v>74595.961092742407</v>
      </c>
      <c r="I37" s="19">
        <f>'3 Model Projected FS'!I46</f>
        <v>84528.219176216153</v>
      </c>
    </row>
    <row r="38" spans="1:9">
      <c r="B38" s="1" t="s">
        <v>43</v>
      </c>
      <c r="C38" s="19">
        <f>'3 Model Projected FS'!C47</f>
        <v>1775.95</v>
      </c>
      <c r="D38" s="19">
        <f>'3 Model Projected FS'!D47</f>
        <v>2772.25</v>
      </c>
      <c r="E38" s="19">
        <f>'3 Model Projected FS'!E47</f>
        <v>3541.9</v>
      </c>
      <c r="F38" s="19">
        <f>'3 Model Projected FS'!F47</f>
        <v>3809.11</v>
      </c>
      <c r="G38" s="19">
        <f>'3 Model Projected FS'!G47</f>
        <v>6177.54</v>
      </c>
      <c r="H38" s="19">
        <f>'3 Model Projected FS'!H47</f>
        <v>7385.5876796832654</v>
      </c>
      <c r="I38" s="19">
        <f>'3 Model Projected FS'!I47</f>
        <v>8368.9594582375757</v>
      </c>
    </row>
    <row r="39" spans="1:9">
      <c r="B39" s="1" t="s">
        <v>44</v>
      </c>
      <c r="C39" s="19">
        <f>'3 Model Projected FS'!C48</f>
        <v>3697.13</v>
      </c>
      <c r="D39" s="19">
        <f>'3 Model Projected FS'!D48</f>
        <v>4022.9</v>
      </c>
      <c r="E39" s="19">
        <f>'3 Model Projected FS'!E48</f>
        <v>6814.03</v>
      </c>
      <c r="F39" s="19">
        <f>'3 Model Projected FS'!F48</f>
        <v>10936.09</v>
      </c>
      <c r="G39" s="19">
        <f>'3 Model Projected FS'!G48</f>
        <v>11592.19</v>
      </c>
      <c r="H39" s="19">
        <f>'3 Model Projected FS'!H48</f>
        <v>7454.4729641526246</v>
      </c>
      <c r="I39" s="19">
        <f>'3 Model Projected FS'!I48</f>
        <v>9318.0912051907817</v>
      </c>
    </row>
    <row r="40" spans="1:9">
      <c r="B40" s="1" t="s">
        <v>45</v>
      </c>
      <c r="C40" s="19">
        <f>'3 Model Projected FS'!C49</f>
        <v>0</v>
      </c>
      <c r="D40" s="19">
        <f>'3 Model Projected FS'!D49</f>
        <v>0</v>
      </c>
      <c r="E40" s="19">
        <f>'3 Model Projected FS'!E49</f>
        <v>2473.38</v>
      </c>
      <c r="F40" s="19">
        <f>'3 Model Projected FS'!F49</f>
        <v>1345.3</v>
      </c>
      <c r="G40" s="19">
        <f>'3 Model Projected FS'!G49</f>
        <v>1459.16</v>
      </c>
      <c r="H40" s="19">
        <f>'3 Model Projected FS'!H49</f>
        <v>1744.5057609803634</v>
      </c>
      <c r="I40" s="19">
        <f>'3 Model Projected FS'!I49</f>
        <v>1976.78216297781</v>
      </c>
    </row>
    <row r="41" spans="1:9">
      <c r="B41" s="1" t="s">
        <v>46</v>
      </c>
      <c r="C41" s="19">
        <f>'3 Model Projected FS'!C50</f>
        <v>4036.43</v>
      </c>
      <c r="D41" s="19">
        <f>'3 Model Projected FS'!D50</f>
        <v>6711.43</v>
      </c>
      <c r="E41" s="19">
        <f>'3 Model Projected FS'!E50</f>
        <v>6963.4</v>
      </c>
      <c r="F41" s="19">
        <f>'3 Model Projected FS'!F50</f>
        <v>6906.93</v>
      </c>
      <c r="G41" s="19">
        <f>'3 Model Projected FS'!G50</f>
        <v>7093.59</v>
      </c>
      <c r="H41" s="19">
        <f>'3 Model Projected FS'!H50</f>
        <v>7093.59</v>
      </c>
      <c r="I41" s="19">
        <f>'3 Model Projected FS'!I50</f>
        <v>7093.59</v>
      </c>
    </row>
    <row r="42" spans="1:9">
      <c r="B42" s="1" t="s">
        <v>47</v>
      </c>
      <c r="C42" s="19">
        <f>'3 Model Projected FS'!C51</f>
        <v>5533.03</v>
      </c>
      <c r="D42" s="19">
        <f>'3 Model Projected FS'!D51</f>
        <v>11580.54</v>
      </c>
      <c r="E42" s="19">
        <f>'3 Model Projected FS'!E51</f>
        <v>11445.51</v>
      </c>
      <c r="F42" s="19">
        <f>'3 Model Projected FS'!F51</f>
        <v>11282.64</v>
      </c>
      <c r="G42" s="19">
        <f>'3 Model Projected FS'!G51</f>
        <v>12491.6</v>
      </c>
      <c r="H42" s="19">
        <f>'3 Model Projected FS'!H51</f>
        <v>113.91</v>
      </c>
      <c r="I42" s="19">
        <f>'3 Model Projected FS'!I51</f>
        <v>113.91</v>
      </c>
    </row>
    <row r="43" spans="1:9">
      <c r="B43" s="1" t="s">
        <v>48</v>
      </c>
      <c r="C43" s="19">
        <f>'3 Model Projected FS'!C52</f>
        <v>0</v>
      </c>
      <c r="D43" s="19">
        <f>'3 Model Projected FS'!D52</f>
        <v>0</v>
      </c>
      <c r="E43" s="19">
        <f>'3 Model Projected FS'!E52</f>
        <v>0</v>
      </c>
      <c r="F43" s="19">
        <f>'3 Model Projected FS'!F52</f>
        <v>0</v>
      </c>
      <c r="G43" s="19">
        <f>'3 Model Projected FS'!G52</f>
        <v>113.91</v>
      </c>
      <c r="H43" s="19">
        <f>'3 Model Projected FS'!H52</f>
        <v>113.91</v>
      </c>
      <c r="I43" s="19">
        <f>'3 Model Projected FS'!I52</f>
        <v>113.91</v>
      </c>
    </row>
    <row r="44" spans="1:9">
      <c r="B44" s="1" t="s">
        <v>55</v>
      </c>
      <c r="C44" s="19">
        <f>ROUND(SUM('3 Model Projected FS'!C53:C59),2)</f>
        <v>10659.09</v>
      </c>
      <c r="D44" s="19">
        <f>ROUND(SUM('3 Model Projected FS'!D53:D59),2)</f>
        <v>15021.58</v>
      </c>
      <c r="E44" s="19">
        <f>ROUND(SUM('3 Model Projected FS'!E53:E59),2)</f>
        <v>17805.39</v>
      </c>
      <c r="F44" s="19">
        <f>ROUND(SUM('3 Model Projected FS'!F53:F59),2)</f>
        <v>15361.61</v>
      </c>
      <c r="G44" s="19">
        <f>ROUND(SUM('3 Model Projected FS'!G53:G59),2)</f>
        <v>15065.69</v>
      </c>
      <c r="H44" s="19">
        <f>ROUND(SUM('3 Model Projected FS'!H53:H59),2)</f>
        <v>15065.69</v>
      </c>
      <c r="I44" s="19">
        <f>ROUND(SUM('3 Model Projected FS'!I53:I59),2)</f>
        <v>15065.69</v>
      </c>
    </row>
    <row r="45" spans="1:9">
      <c r="B45" s="9" t="s">
        <v>56</v>
      </c>
      <c r="C45" s="10">
        <f t="shared" ref="C45:I45" si="12">SUM(C37:C44)</f>
        <v>62493.14</v>
      </c>
      <c r="D45" s="10">
        <f t="shared" si="12"/>
        <v>81597.400000000009</v>
      </c>
      <c r="E45" s="10">
        <f t="shared" si="12"/>
        <v>97457.609999999986</v>
      </c>
      <c r="F45" s="10">
        <f t="shared" si="12"/>
        <v>101445.51000000001</v>
      </c>
      <c r="G45" s="10">
        <f t="shared" si="12"/>
        <v>116388.11000000002</v>
      </c>
      <c r="H45" s="10">
        <f t="shared" si="12"/>
        <v>113567.62749755866</v>
      </c>
      <c r="I45" s="10">
        <f t="shared" si="12"/>
        <v>126579.15200262232</v>
      </c>
    </row>
    <row r="47" spans="1:9">
      <c r="B47" s="4" t="s">
        <v>57</v>
      </c>
    </row>
    <row r="48" spans="1:9">
      <c r="B48" s="1" t="s">
        <v>58</v>
      </c>
      <c r="C48" s="19">
        <f>'3 Model Projected FS'!C63</f>
        <v>991.85</v>
      </c>
      <c r="D48" s="19">
        <f>'3 Model Projected FS'!D63</f>
        <v>395.64</v>
      </c>
      <c r="E48" s="19">
        <f>'3 Model Projected FS'!E63</f>
        <v>451.97</v>
      </c>
      <c r="F48" s="19">
        <f>'3 Model Projected FS'!F63</f>
        <v>437.51</v>
      </c>
      <c r="G48" s="19">
        <f>'3 Model Projected FS'!G63</f>
        <v>521.79999999999995</v>
      </c>
      <c r="H48" s="19">
        <f>'3 Model Projected FS'!H63</f>
        <v>631.26</v>
      </c>
      <c r="I48" s="19">
        <f>'3 Model Projected FS'!I63</f>
        <v>775.05</v>
      </c>
    </row>
    <row r="49" spans="2:12">
      <c r="B49" s="23" t="s">
        <v>236</v>
      </c>
      <c r="C49" s="19">
        <f>'3 Model Projected FS'!C65</f>
        <v>1138.76</v>
      </c>
      <c r="D49" s="19">
        <f>'3 Model Projected FS'!D65</f>
        <v>47.79</v>
      </c>
      <c r="E49" s="19">
        <f>'3 Model Projected FS'!E65</f>
        <v>4028.69</v>
      </c>
      <c r="F49" s="19">
        <f>'3 Model Projected FS'!F65</f>
        <v>661.79</v>
      </c>
      <c r="G49" s="19">
        <f>'3 Model Projected FS'!G65</f>
        <v>751.88</v>
      </c>
      <c r="H49" s="19">
        <f>'3 Model Projected FS'!H65</f>
        <v>1251.8800000000001</v>
      </c>
      <c r="I49" s="19">
        <f>'3 Model Projected FS'!I65</f>
        <v>1751.88</v>
      </c>
      <c r="K49" s="19"/>
      <c r="L49" s="19"/>
    </row>
    <row r="50" spans="2:12">
      <c r="B50" s="23" t="s">
        <v>237</v>
      </c>
      <c r="C50" s="19">
        <f>'3 Model Projected FS'!C66</f>
        <v>2385.9</v>
      </c>
      <c r="D50" s="19">
        <f>'3 Model Projected FS'!D66</f>
        <v>2221.9</v>
      </c>
      <c r="E50" s="19">
        <f>'3 Model Projected FS'!E66</f>
        <v>3241.67</v>
      </c>
      <c r="F50" s="19">
        <f>'3 Model Projected FS'!F66</f>
        <v>3666.94</v>
      </c>
      <c r="G50" s="19">
        <f>'3 Model Projected FS'!G66</f>
        <v>4432.3599999999997</v>
      </c>
      <c r="H50" s="19">
        <f>'3 Model Projected FS'!H66</f>
        <v>4971.3900000000003</v>
      </c>
      <c r="I50" s="19">
        <f>'3 Model Projected FS'!I66</f>
        <v>6045.01</v>
      </c>
      <c r="L50" s="180"/>
    </row>
    <row r="51" spans="2:12">
      <c r="B51" s="23" t="s">
        <v>238</v>
      </c>
      <c r="C51" s="19">
        <f>'3 Model Projected FS'!C67</f>
        <v>4198.04</v>
      </c>
      <c r="D51" s="19">
        <f>'3 Model Projected FS'!D67</f>
        <v>8653.02</v>
      </c>
      <c r="E51" s="19">
        <f>'3 Model Projected FS'!E67</f>
        <v>931.99</v>
      </c>
      <c r="F51" s="19">
        <f>'3 Model Projected FS'!F67</f>
        <v>1575.73</v>
      </c>
      <c r="G51" s="19">
        <f>'3 Model Projected FS'!G67</f>
        <v>3406.32</v>
      </c>
      <c r="H51" s="19">
        <f>'3 Model Projected FS'!H67</f>
        <v>11346.390398113392</v>
      </c>
      <c r="I51" s="19">
        <f>'3 Model Projected FS'!I67</f>
        <v>20842.201717341086</v>
      </c>
    </row>
    <row r="52" spans="2:12">
      <c r="B52" s="23" t="s">
        <v>239</v>
      </c>
      <c r="C52" s="19">
        <f>'3 Model Projected FS'!C68</f>
        <v>502.74</v>
      </c>
      <c r="D52" s="19">
        <f>'3 Model Projected FS'!D68</f>
        <v>2014.39</v>
      </c>
      <c r="E52" s="19">
        <f>'3 Model Projected FS'!E68</f>
        <v>3316.79</v>
      </c>
      <c r="F52" s="19">
        <f>'3 Model Projected FS'!F68</f>
        <v>6056.15</v>
      </c>
      <c r="G52" s="19">
        <f>'3 Model Projected FS'!G68</f>
        <v>3199.65</v>
      </c>
      <c r="H52" s="19">
        <f>'3 Model Projected FS'!H68</f>
        <v>3199.65</v>
      </c>
      <c r="I52" s="19">
        <f>'3 Model Projected FS'!I68</f>
        <v>3199.65</v>
      </c>
    </row>
    <row r="53" spans="2:12">
      <c r="B53" s="1" t="s">
        <v>66</v>
      </c>
      <c r="C53" s="19">
        <f>ROUND(SUM('3 Model Projected FS'!C69:C73),2)</f>
        <v>3258.49</v>
      </c>
      <c r="D53" s="19">
        <f>ROUND(SUM('3 Model Projected FS'!D69:D73),2)</f>
        <v>2857.2</v>
      </c>
      <c r="E53" s="19">
        <f>ROUND(SUM('3 Model Projected FS'!E69:E73),2)</f>
        <v>3535.15</v>
      </c>
      <c r="F53" s="19">
        <f>ROUND(SUM('3 Model Projected FS'!F69:F73),2)</f>
        <v>4887.49</v>
      </c>
      <c r="G53" s="19">
        <f>ROUND(SUM('3 Model Projected FS'!G69:G73),2)</f>
        <v>6445.36</v>
      </c>
      <c r="H53" s="19">
        <f>ROUND(SUM('3 Model Projected FS'!H69:H73),2)</f>
        <v>6445.36</v>
      </c>
      <c r="I53" s="19">
        <f>ROUND(SUM('3 Model Projected FS'!I69:I73),2)</f>
        <v>6445.36</v>
      </c>
    </row>
    <row r="54" spans="2:12">
      <c r="B54" s="9" t="s">
        <v>67</v>
      </c>
      <c r="C54" s="10">
        <f t="shared" ref="C54:I54" si="13">SUM(C48:C53)</f>
        <v>12475.779999999999</v>
      </c>
      <c r="D54" s="10">
        <f t="shared" si="13"/>
        <v>16189.939999999999</v>
      </c>
      <c r="E54" s="10">
        <f t="shared" si="13"/>
        <v>15506.26</v>
      </c>
      <c r="F54" s="10">
        <f t="shared" si="13"/>
        <v>17285.61</v>
      </c>
      <c r="G54" s="10">
        <f t="shared" si="13"/>
        <v>18757.37</v>
      </c>
      <c r="H54" s="10">
        <f t="shared" si="13"/>
        <v>27845.930398113393</v>
      </c>
      <c r="I54" s="10">
        <f t="shared" si="13"/>
        <v>39059.15171734109</v>
      </c>
    </row>
    <row r="55" spans="2:12">
      <c r="B55" s="21" t="s">
        <v>68</v>
      </c>
      <c r="C55" s="19">
        <f>'3 Model Projected FS'!C75</f>
        <v>354.86</v>
      </c>
      <c r="D55" s="19">
        <f>'3 Model Projected FS'!D75</f>
        <v>1898.48</v>
      </c>
      <c r="E55" s="19">
        <f>'3 Model Projected FS'!E75</f>
        <v>1941.26</v>
      </c>
      <c r="F55" s="19">
        <f>'3 Model Projected FS'!F75</f>
        <v>186.75</v>
      </c>
      <c r="G55" s="19">
        <f>'3 Model Projected FS'!G75</f>
        <v>186.75</v>
      </c>
      <c r="H55" s="19">
        <f>'3 Model Projected FS'!H75</f>
        <v>186.75</v>
      </c>
      <c r="I55" s="19">
        <f>'3 Model Projected FS'!I75</f>
        <v>186.75</v>
      </c>
    </row>
    <row r="56" spans="2:12">
      <c r="B56" s="12" t="s">
        <v>69</v>
      </c>
      <c r="C56" s="13">
        <f t="shared" ref="C56:I56" si="14">SUM(C45,C54,C55)</f>
        <v>75323.78</v>
      </c>
      <c r="D56" s="13">
        <f t="shared" si="14"/>
        <v>99685.82</v>
      </c>
      <c r="E56" s="13">
        <f t="shared" si="14"/>
        <v>114905.12999999998</v>
      </c>
      <c r="F56" s="13">
        <f t="shared" si="14"/>
        <v>118917.87000000001</v>
      </c>
      <c r="G56" s="13">
        <f t="shared" si="14"/>
        <v>135332.23000000001</v>
      </c>
      <c r="H56" s="13">
        <f t="shared" si="14"/>
        <v>141600.30789567204</v>
      </c>
      <c r="I56" s="13">
        <f t="shared" si="14"/>
        <v>165825.05371996341</v>
      </c>
    </row>
    <row r="57" spans="2:12">
      <c r="B57" s="4"/>
    </row>
    <row r="58" spans="2:12">
      <c r="B58" s="181" t="s">
        <v>70</v>
      </c>
    </row>
    <row r="59" spans="2:12">
      <c r="B59" s="4" t="s">
        <v>71</v>
      </c>
    </row>
    <row r="60" spans="2:12">
      <c r="B60" s="1" t="s">
        <v>72</v>
      </c>
      <c r="C60" s="19">
        <f>'3 Model Projected FS'!C80</f>
        <v>406.35</v>
      </c>
      <c r="D60" s="19">
        <f>'3 Model Projected FS'!D80</f>
        <v>422.47</v>
      </c>
      <c r="E60" s="19">
        <f>'3 Model Projected FS'!E80</f>
        <v>432.03</v>
      </c>
      <c r="F60" s="19">
        <f>'3 Model Projected FS'!F80</f>
        <v>432.03</v>
      </c>
      <c r="G60" s="19">
        <f>'3 Model Projected FS'!G80</f>
        <v>432.03</v>
      </c>
      <c r="H60" s="19">
        <f>'3 Model Projected FS'!H80</f>
        <v>432.03</v>
      </c>
      <c r="I60" s="19">
        <f>'3 Model Projected FS'!I80</f>
        <v>432.03</v>
      </c>
    </row>
    <row r="61" spans="2:12">
      <c r="B61" s="1" t="s">
        <v>73</v>
      </c>
      <c r="C61" s="19">
        <f>'3 Model Projected FS'!C81</f>
        <v>30221.91</v>
      </c>
      <c r="D61" s="19">
        <f>'3 Model Projected FS'!D81</f>
        <v>41565.75</v>
      </c>
      <c r="E61" s="19">
        <f>'3 Model Projected FS'!E81</f>
        <v>45151.55</v>
      </c>
      <c r="F61" s="19">
        <f>'3 Model Projected FS'!F81</f>
        <v>52512.74</v>
      </c>
      <c r="G61" s="19">
        <f>'3 Model Projected FS'!G81</f>
        <v>62003.360000000001</v>
      </c>
      <c r="H61" s="19">
        <f>'3 Model Projected FS'!H81</f>
        <v>59606.480495672011</v>
      </c>
      <c r="I61" s="19">
        <f>'3 Model Projected FS'!I81</f>
        <v>75510.352707163402</v>
      </c>
    </row>
    <row r="62" spans="2:12">
      <c r="B62" s="9" t="s">
        <v>74</v>
      </c>
      <c r="C62" s="10">
        <f>SUM(C60:C61)</f>
        <v>30628.26</v>
      </c>
      <c r="D62" s="10">
        <f t="shared" ref="D62:I62" si="15">SUM(D60:D61)</f>
        <v>41988.22</v>
      </c>
      <c r="E62" s="10">
        <f t="shared" si="15"/>
        <v>45583.58</v>
      </c>
      <c r="F62" s="10">
        <f t="shared" si="15"/>
        <v>52944.77</v>
      </c>
      <c r="G62" s="10">
        <f t="shared" si="15"/>
        <v>62435.39</v>
      </c>
      <c r="H62" s="10">
        <f>SUM(H60:H61)</f>
        <v>60038.51049567201</v>
      </c>
      <c r="I62" s="10">
        <f t="shared" si="15"/>
        <v>75942.3827071634</v>
      </c>
    </row>
    <row r="63" spans="2:12">
      <c r="B63" s="1" t="s">
        <v>75</v>
      </c>
      <c r="C63" s="19">
        <f>'3 Model Projected FS'!C83</f>
        <v>1468.47</v>
      </c>
      <c r="D63" s="19">
        <f>'3 Model Projected FS'!D83</f>
        <v>392.77</v>
      </c>
      <c r="E63" s="19">
        <f>'3 Model Projected FS'!E83</f>
        <v>1338.51</v>
      </c>
      <c r="F63" s="19">
        <f>'3 Model Projected FS'!F83</f>
        <v>1598.23</v>
      </c>
      <c r="G63" s="19">
        <f>'3 Model Projected FS'!G83</f>
        <v>2537.9499999999998</v>
      </c>
      <c r="H63" s="19">
        <f>'3 Model Projected FS'!H83</f>
        <v>2537.9499999999998</v>
      </c>
      <c r="I63" s="19">
        <f>'3 Model Projected FS'!I83</f>
        <v>2537.9499999999998</v>
      </c>
    </row>
    <row r="64" spans="2:12">
      <c r="B64" s="9" t="s">
        <v>76</v>
      </c>
      <c r="C64" s="10">
        <f t="shared" ref="C64:F64" si="16">SUM(C62:C63)</f>
        <v>32096.73</v>
      </c>
      <c r="D64" s="10">
        <f t="shared" si="16"/>
        <v>42380.99</v>
      </c>
      <c r="E64" s="10">
        <f t="shared" si="16"/>
        <v>46922.090000000004</v>
      </c>
      <c r="F64" s="10">
        <f t="shared" si="16"/>
        <v>54543</v>
      </c>
      <c r="G64" s="10">
        <f>SUM(G62:G63)</f>
        <v>64973.34</v>
      </c>
      <c r="H64" s="10">
        <f>SUM(H62:H63)</f>
        <v>62576.460495672007</v>
      </c>
      <c r="I64" s="10">
        <f>SUM(I62:I63)</f>
        <v>78480.332707163398</v>
      </c>
    </row>
    <row r="66" spans="2:11">
      <c r="B66" s="4" t="s">
        <v>77</v>
      </c>
    </row>
    <row r="67" spans="2:11">
      <c r="B67" s="23" t="s">
        <v>240</v>
      </c>
      <c r="C67" s="19">
        <f>'3 Model Projected FS'!C88</f>
        <v>32935.53</v>
      </c>
      <c r="D67" s="19">
        <f>'3 Model Projected FS'!D88</f>
        <v>39691.480000000003</v>
      </c>
      <c r="E67" s="19">
        <f>'3 Model Projected FS'!E88</f>
        <v>46516.94</v>
      </c>
      <c r="F67" s="19">
        <f>'3 Model Projected FS'!F88</f>
        <v>37662.93</v>
      </c>
      <c r="G67" s="19">
        <f>'3 Model Projected FS'!G88</f>
        <v>35830.68</v>
      </c>
      <c r="H67" s="19">
        <f>'3 Model Projected FS'!H88</f>
        <v>39413.748</v>
      </c>
      <c r="I67" s="19">
        <f>'3 Model Projected FS'!I88</f>
        <v>43355.122800000005</v>
      </c>
    </row>
    <row r="68" spans="2:11">
      <c r="B68" s="23" t="s">
        <v>241</v>
      </c>
      <c r="C68" s="19">
        <f>'3 Model Projected FS'!C89</f>
        <v>572.33000000000004</v>
      </c>
      <c r="D68" s="19">
        <f>'3 Model Projected FS'!D89</f>
        <v>1983.78</v>
      </c>
      <c r="E68" s="19">
        <f>'3 Model Projected FS'!E89</f>
        <v>2681.74</v>
      </c>
      <c r="F68" s="19">
        <f>'3 Model Projected FS'!F89</f>
        <v>2953.28</v>
      </c>
      <c r="G68" s="19">
        <f>'3 Model Projected FS'!G89</f>
        <v>5389.61</v>
      </c>
      <c r="H68" s="19">
        <f>'3 Model Projected FS'!H89</f>
        <v>5928.5709999999999</v>
      </c>
      <c r="I68" s="19">
        <f>'3 Model Projected FS'!I89</f>
        <v>6521.4281000000001</v>
      </c>
    </row>
    <row r="69" spans="2:11">
      <c r="B69" s="23" t="s">
        <v>242</v>
      </c>
      <c r="C69" s="19">
        <f>'3 Model Projected FS'!C90</f>
        <v>207.61</v>
      </c>
      <c r="D69" s="19">
        <f>'3 Model Projected FS'!D90</f>
        <v>227.56</v>
      </c>
      <c r="E69" s="19">
        <f>'3 Model Projected FS'!E90</f>
        <v>322.83999999999997</v>
      </c>
      <c r="F69" s="19">
        <f>'3 Model Projected FS'!F90</f>
        <v>360.11</v>
      </c>
      <c r="G69" s="19">
        <f>'3 Model Projected FS'!G90</f>
        <v>207.45</v>
      </c>
      <c r="H69" s="19">
        <f>'3 Model Projected FS'!H90</f>
        <v>2242.6799999999998</v>
      </c>
      <c r="I69" s="19">
        <f>'3 Model Projected FS'!I90</f>
        <v>2242.6799999999998</v>
      </c>
    </row>
    <row r="70" spans="2:11">
      <c r="B70" s="23" t="s">
        <v>83</v>
      </c>
      <c r="C70" s="19">
        <f>ROUND(SUM('3 Model Projected FS'!C91:C95),2)</f>
        <v>2295.63</v>
      </c>
      <c r="D70" s="19">
        <f>ROUND(SUM('3 Model Projected FS'!D91:D95),2)</f>
        <v>4033.3</v>
      </c>
      <c r="E70" s="19">
        <f>ROUND(SUM('3 Model Projected FS'!E91:E95),2)</f>
        <v>5536.96</v>
      </c>
      <c r="F70" s="19">
        <f>ROUND(SUM('3 Model Projected FS'!F91:F95),2)</f>
        <v>6935.61</v>
      </c>
      <c r="G70" s="19">
        <f>ROUND(SUM('3 Model Projected FS'!G91:G95),2)</f>
        <v>7945.16</v>
      </c>
      <c r="H70" s="19">
        <f>ROUND(SUM('3 Model Projected FS'!H91:H95),2)</f>
        <v>7945.16</v>
      </c>
      <c r="I70" s="19">
        <f>ROUND(SUM('3 Model Projected FS'!I91:I95),2)</f>
        <v>7945.16</v>
      </c>
    </row>
    <row r="71" spans="2:11">
      <c r="B71" s="9" t="s">
        <v>87</v>
      </c>
      <c r="C71" s="10">
        <f t="shared" ref="C71:I71" si="17">SUM(C67:C70)</f>
        <v>36011.1</v>
      </c>
      <c r="D71" s="10">
        <f t="shared" si="17"/>
        <v>45936.12</v>
      </c>
      <c r="E71" s="10">
        <f t="shared" si="17"/>
        <v>55058.479999999996</v>
      </c>
      <c r="F71" s="10">
        <f t="shared" si="17"/>
        <v>47911.93</v>
      </c>
      <c r="G71" s="10">
        <f t="shared" si="17"/>
        <v>49372.899999999994</v>
      </c>
      <c r="H71" s="10">
        <f t="shared" si="17"/>
        <v>55530.159</v>
      </c>
      <c r="I71" s="10">
        <f t="shared" si="17"/>
        <v>60064.390899999999</v>
      </c>
    </row>
    <row r="72" spans="2:11">
      <c r="B72" s="4"/>
    </row>
    <row r="73" spans="2:11">
      <c r="B73" s="4" t="s">
        <v>88</v>
      </c>
    </row>
    <row r="74" spans="2:11">
      <c r="B74" s="23" t="s">
        <v>240</v>
      </c>
      <c r="C74" s="19">
        <f>'3 Model Projected FS'!C100</f>
        <v>400</v>
      </c>
      <c r="D74" s="19">
        <f>'3 Model Projected FS'!D100</f>
        <v>5761.56</v>
      </c>
      <c r="E74" s="19">
        <f>'3 Model Projected FS'!E100</f>
        <v>3302.37</v>
      </c>
      <c r="F74" s="19">
        <f>'3 Model Projected FS'!F100</f>
        <v>8616.2999999999993</v>
      </c>
      <c r="G74" s="19">
        <f>'3 Model Projected FS'!G100</f>
        <v>9979.35</v>
      </c>
      <c r="H74" s="19">
        <f>'3 Model Projected FS'!H100</f>
        <v>12374.394</v>
      </c>
      <c r="I74" s="19">
        <f>'3 Model Projected FS'!I100</f>
        <v>15368.997347999999</v>
      </c>
    </row>
    <row r="75" spans="2:11">
      <c r="B75" s="23" t="s">
        <v>241</v>
      </c>
      <c r="C75" s="19">
        <f>'3 Model Projected FS'!C101</f>
        <v>32.26</v>
      </c>
      <c r="D75" s="19">
        <f>'3 Model Projected FS'!D101</f>
        <v>32.159999999999997</v>
      </c>
      <c r="E75" s="19">
        <f>'3 Model Projected FS'!E101</f>
        <v>61.97</v>
      </c>
      <c r="F75" s="19">
        <f>'3 Model Projected FS'!F101</f>
        <v>71.2</v>
      </c>
      <c r="G75" s="19">
        <f>'3 Model Projected FS'!G101</f>
        <v>254.56</v>
      </c>
      <c r="H75" s="19">
        <f>'3 Model Projected FS'!H101</f>
        <v>315.65440000000001</v>
      </c>
      <c r="I75" s="19">
        <f>'3 Model Projected FS'!I101</f>
        <v>392.04276480000004</v>
      </c>
    </row>
    <row r="76" spans="2:11">
      <c r="B76" s="23" t="s">
        <v>243</v>
      </c>
      <c r="C76" s="19">
        <f>ROUND(SUM('3 Model Projected FS'!C103:C104),2)</f>
        <v>1013.85</v>
      </c>
      <c r="D76" s="19">
        <f>ROUND(SUM('3 Model Projected FS'!D103:D104),2)</f>
        <v>1159.57</v>
      </c>
      <c r="E76" s="19">
        <f>ROUND(SUM('3 Model Projected FS'!E103:E104),2)</f>
        <v>1828.23</v>
      </c>
      <c r="F76" s="19">
        <f>ROUND(SUM('3 Model Projected FS'!F103:F104),2)</f>
        <v>1912.1</v>
      </c>
      <c r="G76" s="19">
        <f>ROUND(SUM('3 Model Projected FS'!G103:G104),2)</f>
        <v>2720.5</v>
      </c>
      <c r="H76" s="19">
        <f>ROUND(SUM('3 Model Projected FS'!H103:H104),2)</f>
        <v>2772.06</v>
      </c>
      <c r="I76" s="19">
        <f>ROUND(SUM('3 Model Projected FS'!I103:I104),2)</f>
        <v>3487.71</v>
      </c>
    </row>
    <row r="77" spans="2:11">
      <c r="B77" s="23" t="s">
        <v>242</v>
      </c>
      <c r="C77" s="19">
        <f>'3 Model Projected FS'!C105</f>
        <v>3260.08</v>
      </c>
      <c r="D77" s="19">
        <f>'3 Model Projected FS'!D105</f>
        <v>2253.75</v>
      </c>
      <c r="E77" s="19">
        <f>'3 Model Projected FS'!E105</f>
        <v>3319.88</v>
      </c>
      <c r="F77" s="19">
        <f>'3 Model Projected FS'!F105</f>
        <v>3756.8</v>
      </c>
      <c r="G77" s="19">
        <f>'3 Model Projected FS'!G105</f>
        <v>5359.74</v>
      </c>
      <c r="H77" s="19">
        <f>'3 Model Projected FS'!H105</f>
        <v>5359.74</v>
      </c>
      <c r="I77" s="19">
        <f>'3 Model Projected FS'!I105</f>
        <v>5359.74</v>
      </c>
      <c r="K77" s="19"/>
    </row>
    <row r="78" spans="2:11">
      <c r="B78" s="23" t="s">
        <v>95</v>
      </c>
      <c r="C78" s="19">
        <f>ROUND(SUM('3 Model Projected FS'!C106:C110),2)</f>
        <v>2395.2199999999998</v>
      </c>
      <c r="D78" s="19">
        <f>ROUND(SUM('3 Model Projected FS'!D106:D110),2)</f>
        <v>1856.31</v>
      </c>
      <c r="E78" s="19">
        <f>ROUND(SUM('3 Model Projected FS'!E106:E110),2)</f>
        <v>2890.65</v>
      </c>
      <c r="F78" s="19">
        <f>ROUND(SUM('3 Model Projected FS'!F106:F110),2)</f>
        <v>2058.9899999999998</v>
      </c>
      <c r="G78" s="19">
        <f>ROUND(SUM('3 Model Projected FS'!G106:G110),2)</f>
        <v>2624.29</v>
      </c>
      <c r="H78" s="19">
        <f>ROUND(SUM('3 Model Projected FS'!H106:H110),2)</f>
        <v>2624.29</v>
      </c>
      <c r="I78" s="19">
        <f>ROUND(SUM('3 Model Projected FS'!I106:I110),2)</f>
        <v>2624.29</v>
      </c>
      <c r="K78" s="19"/>
    </row>
    <row r="79" spans="2:11">
      <c r="B79" s="9" t="s">
        <v>97</v>
      </c>
      <c r="C79" s="10">
        <f t="shared" ref="C79:I79" si="18">SUM(C74:C78)</f>
        <v>7101.41</v>
      </c>
      <c r="D79" s="10">
        <f t="shared" si="18"/>
        <v>11063.35</v>
      </c>
      <c r="E79" s="10">
        <f t="shared" si="18"/>
        <v>11403.1</v>
      </c>
      <c r="F79" s="10">
        <f t="shared" si="18"/>
        <v>16415.39</v>
      </c>
      <c r="G79" s="10">
        <f t="shared" si="18"/>
        <v>20938.440000000002</v>
      </c>
      <c r="H79" s="10">
        <f t="shared" si="18"/>
        <v>23446.1384</v>
      </c>
      <c r="I79" s="10">
        <f t="shared" si="18"/>
        <v>27232.780112799999</v>
      </c>
    </row>
    <row r="80" spans="2:11">
      <c r="B80" s="21" t="s">
        <v>68</v>
      </c>
      <c r="C80" s="19">
        <f>'3 Model Projected FS'!C112</f>
        <v>114.54</v>
      </c>
      <c r="D80" s="19">
        <f>'3 Model Projected FS'!D112</f>
        <v>305.36</v>
      </c>
      <c r="E80" s="19">
        <f>'3 Model Projected FS'!E112</f>
        <v>1521.46</v>
      </c>
      <c r="F80" s="19">
        <f>'3 Model Projected FS'!F112</f>
        <v>47.55</v>
      </c>
      <c r="G80" s="19">
        <f>'3 Model Projected FS'!G112</f>
        <v>47.55</v>
      </c>
      <c r="H80" s="19">
        <f>'3 Model Projected FS'!H112</f>
        <v>47.55</v>
      </c>
      <c r="I80" s="19">
        <f>'3 Model Projected FS'!I112</f>
        <v>47.55</v>
      </c>
    </row>
    <row r="81" spans="1:9">
      <c r="B81" s="12" t="s">
        <v>98</v>
      </c>
      <c r="C81" s="13">
        <f t="shared" ref="C81:I81" si="19">SUM(C64,C71,C79,C80)</f>
        <v>75323.78</v>
      </c>
      <c r="D81" s="13">
        <f t="shared" si="19"/>
        <v>99685.82</v>
      </c>
      <c r="E81" s="13">
        <f t="shared" si="19"/>
        <v>114905.13000000002</v>
      </c>
      <c r="F81" s="13">
        <f t="shared" si="19"/>
        <v>118917.87</v>
      </c>
      <c r="G81" s="13">
        <f t="shared" si="19"/>
        <v>135332.22999999998</v>
      </c>
      <c r="H81" s="13">
        <f t="shared" si="19"/>
        <v>141600.30789567198</v>
      </c>
      <c r="I81" s="13">
        <f t="shared" si="19"/>
        <v>165825.05371996341</v>
      </c>
    </row>
    <row r="83" spans="1:9">
      <c r="B83" s="25" t="s">
        <v>99</v>
      </c>
      <c r="C83" s="26">
        <f t="shared" ref="C83:I83" si="20">C56-C81</f>
        <v>0</v>
      </c>
      <c r="D83" s="26">
        <f t="shared" si="20"/>
        <v>0</v>
      </c>
      <c r="E83" s="26">
        <f t="shared" si="20"/>
        <v>0</v>
      </c>
      <c r="F83" s="26">
        <f t="shared" si="20"/>
        <v>0</v>
      </c>
      <c r="G83" s="26">
        <f t="shared" si="20"/>
        <v>0</v>
      </c>
      <c r="H83" s="168">
        <f t="shared" si="20"/>
        <v>0</v>
      </c>
      <c r="I83" s="168">
        <f t="shared" si="20"/>
        <v>0</v>
      </c>
    </row>
    <row r="85" spans="1:9">
      <c r="A85" s="81" t="s">
        <v>8</v>
      </c>
      <c r="B85" s="81" t="s">
        <v>100</v>
      </c>
      <c r="C85" s="82"/>
      <c r="D85" s="82"/>
      <c r="E85" s="82"/>
      <c r="F85" s="82"/>
      <c r="G85" s="82"/>
      <c r="H85" s="82"/>
      <c r="I85" s="82"/>
    </row>
    <row r="86" spans="1:9">
      <c r="G86" s="169"/>
    </row>
    <row r="87" spans="1:9">
      <c r="B87" s="1" t="s">
        <v>101</v>
      </c>
      <c r="C87" s="19" t="e">
        <f>SUM(#REF!)</f>
        <v>#REF!</v>
      </c>
      <c r="D87" s="19" t="e">
        <f>SUM(#REF!)</f>
        <v>#REF!</v>
      </c>
      <c r="E87" s="19" t="e">
        <f>SUM(#REF!)</f>
        <v>#REF!</v>
      </c>
      <c r="F87" s="19">
        <f>'3 Model Projected FS'!F156</f>
        <v>15017.58</v>
      </c>
      <c r="G87" s="19">
        <f>'3 Model Projected FS'!G156</f>
        <v>17226.280000000002</v>
      </c>
      <c r="H87" s="19">
        <f>'3 Model Projected FS'!H156</f>
        <v>21005.785892899912</v>
      </c>
      <c r="I87" s="19">
        <f>'3 Model Projected FS'!I156</f>
        <v>26440.079588124892</v>
      </c>
    </row>
    <row r="88" spans="1:9">
      <c r="B88" s="1" t="s">
        <v>136</v>
      </c>
      <c r="C88" s="77"/>
      <c r="D88" s="77"/>
      <c r="E88" s="77"/>
      <c r="F88" s="19">
        <f>'3 Model Projected FS'!F172</f>
        <v>-6946.5500000000011</v>
      </c>
      <c r="G88" s="19">
        <f>'3 Model Projected FS'!G172</f>
        <v>-9787.2700000000023</v>
      </c>
      <c r="H88" s="19">
        <f>'3 Model Projected FS'!H172</f>
        <v>-14149.892787660832</v>
      </c>
      <c r="I88" s="19">
        <f>'3 Model Projected FS'!I172</f>
        <v>-17669.248954482213</v>
      </c>
    </row>
    <row r="89" spans="1:9">
      <c r="B89" s="1" t="s">
        <v>151</v>
      </c>
      <c r="C89" s="77"/>
      <c r="D89" s="77"/>
      <c r="E89" s="77"/>
      <c r="F89" s="19">
        <f>'3 Model Projected FS'!F192</f>
        <v>270.91999999999734</v>
      </c>
      <c r="G89" s="19">
        <f>'3 Model Projected FS'!G192</f>
        <v>523.4900000000016</v>
      </c>
      <c r="H89" s="19">
        <f>'3 Model Projected FS'!H192</f>
        <v>7940.0703981133911</v>
      </c>
      <c r="I89" s="19">
        <f>'3 Model Projected FS'!I192</f>
        <v>9495.8113192276942</v>
      </c>
    </row>
    <row r="90" spans="1:9">
      <c r="B90" s="4" t="s">
        <v>168</v>
      </c>
      <c r="C90" s="77"/>
      <c r="D90" s="77"/>
      <c r="E90" s="77"/>
      <c r="F90" s="77">
        <f>'3 Model Projected FS'!F192</f>
        <v>270.91999999999734</v>
      </c>
      <c r="G90" s="77">
        <f>'3 Model Projected FS'!G192</f>
        <v>523.4900000000016</v>
      </c>
      <c r="H90" s="77">
        <f>'3 Model Projected FS'!H192</f>
        <v>7940.0703981133911</v>
      </c>
      <c r="I90" s="77">
        <f>'3 Model Projected FS'!I192</f>
        <v>9495.8113192276942</v>
      </c>
    </row>
    <row r="91" spans="1:9">
      <c r="B91" s="1" t="s">
        <v>169</v>
      </c>
      <c r="C91" s="19" t="e" vm="1">
        <f>[3]Consol!C191</f>
        <v>#VALUE!</v>
      </c>
      <c r="D91" s="19" t="e" vm="1">
        <f>[3]Consol!D191</f>
        <v>#VALUE!</v>
      </c>
      <c r="E91" s="19" t="e" vm="1">
        <f>[3]Consol!E191</f>
        <v>#VALUE!</v>
      </c>
      <c r="F91" s="19">
        <f>'3 Model Projected FS'!F194</f>
        <v>1125.82</v>
      </c>
      <c r="G91" s="19">
        <f>'3 Model Projected FS'!G194</f>
        <v>1575.73</v>
      </c>
      <c r="H91" s="19">
        <f>'3 Model Projected FS'!H194</f>
        <v>3406.32</v>
      </c>
      <c r="I91" s="19">
        <f>'3 Model Projected FS'!I194</f>
        <v>11346.390398113392</v>
      </c>
    </row>
    <row r="92" spans="1:9">
      <c r="B92" s="1" t="s">
        <v>170</v>
      </c>
      <c r="C92" s="19" t="e" vm="1">
        <f>[3]Consol!C192</f>
        <v>#VALUE!</v>
      </c>
      <c r="D92" s="19" t="e" vm="1">
        <f>[3]Consol!D192</f>
        <v>#VALUE!</v>
      </c>
      <c r="E92" s="19" t="e" vm="1">
        <f>[3]Consol!E192</f>
        <v>#VALUE!</v>
      </c>
      <c r="F92" s="19">
        <f>'3 Model Projected FS'!F195</f>
        <v>178.99</v>
      </c>
      <c r="G92" s="19">
        <f>'3 Model Projected FS'!G195</f>
        <v>1307.0999999999999</v>
      </c>
      <c r="H92" s="19">
        <f>'3 Model Projected FS'!H195</f>
        <v>0</v>
      </c>
      <c r="I92" s="19">
        <f>'3 Model Projected FS'!I195</f>
        <v>0</v>
      </c>
    </row>
    <row r="93" spans="1:9">
      <c r="B93" s="4" t="s">
        <v>171</v>
      </c>
      <c r="C93" s="77" t="e" vm="1">
        <f>[3]Consol!C193</f>
        <v>#VALUE!</v>
      </c>
      <c r="D93" s="77" t="e" vm="1">
        <f>[3]Consol!D193</f>
        <v>#VALUE!</v>
      </c>
      <c r="E93" s="77" t="e" vm="1">
        <f>[3]Consol!E193</f>
        <v>#VALUE!</v>
      </c>
      <c r="F93" s="77">
        <f>'3 Model Projected FS'!F196</f>
        <v>1575.73</v>
      </c>
      <c r="G93" s="77">
        <f>'3 Model Projected FS'!G196</f>
        <v>3406.32</v>
      </c>
      <c r="H93" s="77">
        <f>'3 Model Projected FS'!H196</f>
        <v>11346.390398113392</v>
      </c>
      <c r="I93" s="77">
        <f>'3 Model Projected FS'!I196</f>
        <v>20842.201717341086</v>
      </c>
    </row>
    <row r="94" spans="1:9">
      <c r="B94" s="4"/>
      <c r="C94" s="19"/>
      <c r="D94" s="19"/>
      <c r="E94" s="19"/>
      <c r="F94" s="19"/>
      <c r="G94" s="19"/>
    </row>
    <row r="95" spans="1:9">
      <c r="C95" s="19"/>
      <c r="D95" s="19"/>
      <c r="E95" s="19"/>
      <c r="F95" s="19"/>
      <c r="G95" s="19"/>
    </row>
    <row r="96" spans="1:9">
      <c r="C96" s="19"/>
      <c r="D96" s="19"/>
      <c r="E96" s="19"/>
      <c r="F96" s="19"/>
    </row>
  </sheetData>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D1206-3865-EA48-8801-91337703CE57}">
  <sheetPr>
    <pageSetUpPr autoPageBreaks="0"/>
  </sheetPr>
  <dimension ref="A1:O433"/>
  <sheetViews>
    <sheetView showGridLines="0" zoomScale="110" zoomScaleNormal="110" workbookViewId="0">
      <pane ySplit="3" topLeftCell="A4" activePane="bottomLeft" state="frozen"/>
      <selection pane="bottomLeft" activeCell="M434" sqref="M434"/>
    </sheetView>
  </sheetViews>
  <sheetFormatPr defaultColWidth="8.85546875" defaultRowHeight="15"/>
  <cols>
    <col min="1" max="1" width="2.42578125" style="96" customWidth="1"/>
    <col min="2" max="2" width="17.42578125" style="96" customWidth="1"/>
    <col min="3" max="3" width="12.85546875" style="96" customWidth="1"/>
    <col min="4" max="4" width="2" style="96" customWidth="1"/>
    <col min="5" max="5" width="54.7109375" style="96" customWidth="1"/>
    <col min="6" max="6" width="8.85546875" style="96"/>
    <col min="7" max="7" width="8.85546875" style="96" customWidth="1"/>
    <col min="8" max="9" width="8.85546875" style="96"/>
    <col min="10" max="12" width="8.85546875" style="96" customWidth="1"/>
    <col min="13" max="16384" width="8.85546875" style="96"/>
  </cols>
  <sheetData>
    <row r="1" spans="1:14">
      <c r="L1" s="143" t="str">
        <f>"Currently Running: "&amp;IF(C6=1,"Base Case Scenario",IF(C6=2,"Bull Case Scenario","Bear Case Scenario"))</f>
        <v>Currently Running: Base Case Scenario</v>
      </c>
    </row>
    <row r="2" spans="1:14" ht="18.95">
      <c r="B2" s="144" t="s">
        <v>244</v>
      </c>
      <c r="C2" s="144"/>
      <c r="D2" s="144"/>
      <c r="E2" s="144"/>
      <c r="F2" s="144"/>
      <c r="G2" s="144"/>
      <c r="H2" s="144"/>
      <c r="I2" s="144"/>
      <c r="J2" s="144"/>
      <c r="K2" s="144"/>
      <c r="L2" s="144"/>
    </row>
    <row r="3" spans="1:14">
      <c r="B3" s="145" t="s">
        <v>2</v>
      </c>
      <c r="C3" s="145"/>
      <c r="D3" s="145"/>
      <c r="E3" s="145"/>
      <c r="F3" s="146" t="str">
        <f>'[2]3 Model Projected FS'!C3</f>
        <v>FY21A</v>
      </c>
      <c r="G3" s="146" t="str">
        <f>'[2]3 Model Projected FS'!D3</f>
        <v>FY22A</v>
      </c>
      <c r="H3" s="146" t="str">
        <f>'[2]3 Model Projected FS'!E3</f>
        <v>FY23A</v>
      </c>
      <c r="I3" s="146" t="str">
        <f>'[2]3 Model Projected FS'!F3</f>
        <v>FY24A</v>
      </c>
      <c r="J3" s="146" t="str">
        <f>'[2]3 Model Projected FS'!G3</f>
        <v>FY25A</v>
      </c>
      <c r="K3" s="146" t="str">
        <f>'[2]3 Model Projected FS'!H3</f>
        <v>FY26E</v>
      </c>
      <c r="L3" s="146" t="str">
        <f>'[2]3 Model Projected FS'!I3</f>
        <v>FY27E</v>
      </c>
    </row>
    <row r="4" spans="1:14">
      <c r="B4" s="139"/>
      <c r="C4" s="139"/>
      <c r="D4" s="139"/>
      <c r="E4" s="139"/>
      <c r="F4" s="138"/>
      <c r="G4" s="138"/>
      <c r="H4" s="138"/>
      <c r="I4" s="138"/>
    </row>
    <row r="5" spans="1:14" ht="3.95" customHeight="1">
      <c r="B5" s="142"/>
      <c r="C5" s="141"/>
      <c r="D5" s="140"/>
      <c r="E5" s="139"/>
      <c r="F5" s="138"/>
      <c r="G5" s="138"/>
      <c r="H5" s="138"/>
      <c r="I5" s="138"/>
    </row>
    <row r="6" spans="1:14" ht="24.95" customHeight="1">
      <c r="A6" s="137" t="s">
        <v>8</v>
      </c>
      <c r="B6" s="136" t="s">
        <v>245</v>
      </c>
      <c r="C6" s="131">
        <v>1</v>
      </c>
      <c r="D6" s="135"/>
      <c r="E6" s="131"/>
      <c r="F6" s="99"/>
      <c r="G6" s="99"/>
      <c r="H6" s="99"/>
      <c r="I6" s="99"/>
      <c r="J6" s="99"/>
    </row>
    <row r="7" spans="1:14" ht="3.95" customHeight="1">
      <c r="B7" s="134"/>
      <c r="C7" s="133"/>
      <c r="D7" s="132"/>
      <c r="E7" s="131"/>
      <c r="F7" s="99"/>
      <c r="G7" s="99"/>
      <c r="H7" s="99"/>
      <c r="I7" s="99"/>
      <c r="J7" s="99"/>
    </row>
    <row r="8" spans="1:14">
      <c r="F8" s="99"/>
      <c r="G8" s="99"/>
      <c r="H8" s="99"/>
      <c r="I8" s="99"/>
    </row>
    <row r="9" spans="1:14" ht="20.100000000000001">
      <c r="A9" s="147" t="s">
        <v>8</v>
      </c>
      <c r="B9" s="148" t="s">
        <v>246</v>
      </c>
      <c r="C9" s="149"/>
      <c r="D9" s="149"/>
      <c r="E9" s="149"/>
      <c r="F9" s="149"/>
      <c r="G9" s="149"/>
      <c r="H9" s="149"/>
      <c r="I9" s="149"/>
      <c r="J9" s="149"/>
      <c r="K9" s="149"/>
      <c r="L9" s="149"/>
    </row>
    <row r="10" spans="1:14">
      <c r="F10" s="103"/>
      <c r="G10" s="103"/>
      <c r="H10" s="103"/>
      <c r="I10" s="103"/>
      <c r="J10" s="103"/>
    </row>
    <row r="11" spans="1:14">
      <c r="B11" s="98" t="s">
        <v>247</v>
      </c>
      <c r="F11" s="99"/>
      <c r="G11" s="99"/>
      <c r="H11" s="99"/>
      <c r="I11" s="99">
        <f>SUM(I14,I95,I107,I119,I131,I143)</f>
        <v>26710.560000000001</v>
      </c>
      <c r="J11" s="99">
        <f>SUM(J14,J95,J107,J119,J131,J143)</f>
        <v>30475.33</v>
      </c>
      <c r="K11" s="99">
        <f>SUM(K14,K95,K107,K119,K131,K143)</f>
        <v>37803.279999999999</v>
      </c>
      <c r="L11" s="99">
        <f>SUM(L14,L95,L107,L119,L131,L143)</f>
        <v>46945.27</v>
      </c>
    </row>
    <row r="12" spans="1:14">
      <c r="B12" s="113" t="s">
        <v>248</v>
      </c>
      <c r="G12" s="130"/>
      <c r="H12" s="130"/>
      <c r="I12" s="130"/>
      <c r="J12" s="130">
        <f>ROUND(J11/I11-1,3)</f>
        <v>0.14099999999999999</v>
      </c>
      <c r="K12" s="130">
        <f>ROUND(K11/J11-1,3)</f>
        <v>0.24</v>
      </c>
      <c r="L12" s="130">
        <f>ROUND(L11/K11-1,3)</f>
        <v>0.24199999999999999</v>
      </c>
      <c r="N12" s="99"/>
    </row>
    <row r="14" spans="1:14">
      <c r="B14" s="98" t="s">
        <v>249</v>
      </c>
      <c r="F14" s="99"/>
      <c r="G14" s="99"/>
      <c r="H14" s="99"/>
      <c r="I14" s="99">
        <f>SUM(I31,I47,I63,I79)</f>
        <v>26710.560000000001</v>
      </c>
      <c r="J14" s="99">
        <f>SUM(J31,J47,J63,J79)</f>
        <v>30475.33</v>
      </c>
      <c r="K14" s="99">
        <f>SUM(K31,K47,K63,K79)</f>
        <v>37803.279999999999</v>
      </c>
      <c r="L14" s="99">
        <f>SUM(L31,L47,L63,L79)</f>
        <v>46945.27</v>
      </c>
    </row>
    <row r="15" spans="1:14">
      <c r="B15" s="113" t="s">
        <v>248</v>
      </c>
      <c r="G15" s="130"/>
      <c r="H15" s="130"/>
      <c r="I15" s="130"/>
      <c r="J15" s="130">
        <f>ROUND(J14/I14-1,3)</f>
        <v>0.14099999999999999</v>
      </c>
      <c r="K15" s="130">
        <f>ROUND(K14/J14-1,3)</f>
        <v>0.24</v>
      </c>
      <c r="L15" s="130">
        <f>ROUND(L14/K14-1,3)</f>
        <v>0.24199999999999999</v>
      </c>
    </row>
    <row r="16" spans="1:14" hidden="1">
      <c r="B16" s="113"/>
      <c r="G16" s="130"/>
      <c r="H16" s="130"/>
      <c r="I16" s="130"/>
      <c r="J16" s="130"/>
      <c r="K16" s="130"/>
      <c r="L16" s="130"/>
    </row>
    <row r="17" spans="2:15" hidden="1">
      <c r="B17" s="98" t="s">
        <v>35</v>
      </c>
      <c r="F17" s="99">
        <f>'Consol. Historical FS'!C30</f>
        <v>5048.74</v>
      </c>
      <c r="G17" s="99">
        <f>'Consol. Historical FS'!D30</f>
        <v>4953.18</v>
      </c>
      <c r="H17" s="99">
        <f>'Consol. Historical FS'!E30</f>
        <v>5392.75</v>
      </c>
      <c r="I17" s="99">
        <f>'Consol. Historical FS'!F30</f>
        <v>8103.99</v>
      </c>
      <c r="J17" s="99">
        <f>'Consol. Historical FS'!G30</f>
        <v>11061.26</v>
      </c>
      <c r="K17" s="99">
        <f>ROUND(K14*K21,2)</f>
        <v>3137.67</v>
      </c>
      <c r="L17" s="99">
        <f>ROUND(L14*L21,2)</f>
        <v>3896.46</v>
      </c>
    </row>
    <row r="18" spans="2:15" hidden="1">
      <c r="B18" s="113"/>
      <c r="G18" s="130"/>
      <c r="H18" s="130"/>
      <c r="I18" s="130"/>
      <c r="J18" s="130"/>
      <c r="K18" s="130"/>
      <c r="L18" s="130"/>
    </row>
    <row r="19" spans="2:15" ht="17.100000000000001" hidden="1">
      <c r="B19" s="150" t="s">
        <v>215</v>
      </c>
      <c r="G19" s="130"/>
      <c r="H19" s="130"/>
      <c r="I19" s="130"/>
      <c r="J19" s="130"/>
      <c r="K19" s="130"/>
      <c r="L19" s="130"/>
    </row>
    <row r="20" spans="2:15" ht="2.1" hidden="1" customHeight="1">
      <c r="G20" s="130"/>
      <c r="H20" s="130"/>
      <c r="I20" s="130"/>
      <c r="J20" s="130"/>
      <c r="K20" s="130"/>
      <c r="L20" s="130"/>
    </row>
    <row r="21" spans="2:15" hidden="1">
      <c r="B21" s="96" t="s">
        <v>215</v>
      </c>
      <c r="F21" s="108">
        <f>'Consol. Common Size FS'!C28</f>
        <v>0.40200000000000002</v>
      </c>
      <c r="G21" s="108">
        <f>'Consol. Common Size FS'!D28</f>
        <v>0.28899999999999998</v>
      </c>
      <c r="H21" s="108">
        <f>'Consol. Common Size FS'!E28</f>
        <v>0.25900000000000001</v>
      </c>
      <c r="I21" s="108">
        <f>'Consol. Common Size FS'!F28</f>
        <v>0.30299999999999999</v>
      </c>
      <c r="J21" s="108">
        <f>'Consol. Common Size FS'!G28</f>
        <v>0.36299999999999999</v>
      </c>
      <c r="K21" s="110">
        <f>CHOOSE($C$6,K23,K24,K25)</f>
        <v>8.3000000000000004E-2</v>
      </c>
      <c r="L21" s="110">
        <f>CHOOSE($C$6,L23,L24,L25)</f>
        <v>8.3000000000000004E-2</v>
      </c>
    </row>
    <row r="22" spans="2:15" ht="3.95" hidden="1" customHeight="1">
      <c r="G22" s="108"/>
      <c r="H22" s="108"/>
      <c r="I22" s="108"/>
      <c r="J22" s="108"/>
      <c r="K22" s="99"/>
      <c r="L22" s="99"/>
    </row>
    <row r="23" spans="2:15" hidden="1">
      <c r="B23" s="96" t="s">
        <v>250</v>
      </c>
      <c r="K23" s="109">
        <v>8.3000000000000004E-2</v>
      </c>
      <c r="L23" s="109">
        <v>8.3000000000000004E-2</v>
      </c>
    </row>
    <row r="24" spans="2:15" hidden="1">
      <c r="B24" s="96" t="s">
        <v>251</v>
      </c>
      <c r="C24" s="105" t="str">
        <f>"+1%"</f>
        <v>+1%</v>
      </c>
      <c r="K24" s="108">
        <f>K23+$C24</f>
        <v>9.2999999999999999E-2</v>
      </c>
      <c r="L24" s="108">
        <f>L23+$C24</f>
        <v>9.2999999999999999E-2</v>
      </c>
    </row>
    <row r="25" spans="2:15" hidden="1">
      <c r="B25" s="96" t="s">
        <v>252</v>
      </c>
      <c r="C25" s="105" t="str">
        <f>"-1%"</f>
        <v>-1%</v>
      </c>
      <c r="K25" s="108">
        <f>K23+$C25</f>
        <v>7.3000000000000009E-2</v>
      </c>
      <c r="L25" s="108">
        <f>L23+$C25</f>
        <v>7.3000000000000009E-2</v>
      </c>
    </row>
    <row r="27" spans="2:15" ht="17.100000000000001">
      <c r="B27" s="150" t="s">
        <v>253</v>
      </c>
    </row>
    <row r="28" spans="2:15" ht="2.1" customHeight="1"/>
    <row r="29" spans="2:15">
      <c r="B29" s="96" t="s">
        <v>10</v>
      </c>
      <c r="F29" s="102"/>
      <c r="G29" s="102"/>
      <c r="H29" s="102"/>
      <c r="I29" s="102">
        <f>3152+413+20343</f>
        <v>23908</v>
      </c>
      <c r="J29" s="102">
        <f>3380+933+22740</f>
        <v>27053</v>
      </c>
    </row>
    <row r="30" spans="2:15">
      <c r="B30" s="96" t="s">
        <v>11</v>
      </c>
      <c r="F30" s="102"/>
      <c r="G30" s="102"/>
      <c r="H30" s="102"/>
      <c r="I30" s="102">
        <v>0</v>
      </c>
      <c r="J30" s="102">
        <v>0</v>
      </c>
    </row>
    <row r="31" spans="2:15">
      <c r="B31" s="98" t="s">
        <v>12</v>
      </c>
      <c r="C31" s="98"/>
      <c r="D31" s="98"/>
      <c r="E31" s="98"/>
      <c r="F31" s="97"/>
      <c r="G31" s="97"/>
      <c r="H31" s="97"/>
      <c r="I31" s="97">
        <f>SUM(I29:I30)</f>
        <v>23908</v>
      </c>
      <c r="J31" s="97">
        <f t="shared" ref="J31" si="0">SUM(J29:J30)</f>
        <v>27053</v>
      </c>
      <c r="K31" s="126">
        <f>ROUND(J31*(1+K36),2)</f>
        <v>32463.599999999999</v>
      </c>
      <c r="L31" s="126">
        <f>ROUND(K31*(1+L36),2)</f>
        <v>38956.32</v>
      </c>
      <c r="N31" s="129"/>
      <c r="O31" s="129"/>
    </row>
    <row r="32" spans="2:15">
      <c r="B32" s="98"/>
      <c r="C32" s="98"/>
      <c r="D32" s="98"/>
      <c r="E32" s="98"/>
      <c r="F32" s="97"/>
      <c r="G32" s="97"/>
      <c r="H32" s="97"/>
      <c r="I32" s="97"/>
      <c r="J32" s="127"/>
      <c r="K32" s="98"/>
      <c r="L32" s="98"/>
    </row>
    <row r="33" spans="2:12">
      <c r="B33" s="125" t="s">
        <v>254</v>
      </c>
      <c r="C33" s="98"/>
      <c r="D33" s="98"/>
      <c r="E33" s="98"/>
      <c r="F33" s="97"/>
      <c r="G33" s="97"/>
      <c r="H33" s="97"/>
      <c r="I33" s="97"/>
      <c r="J33" s="97"/>
      <c r="K33" s="98"/>
      <c r="L33" s="98"/>
    </row>
    <row r="34" spans="2:12">
      <c r="B34" s="96" t="s">
        <v>10</v>
      </c>
      <c r="C34" s="98"/>
      <c r="D34" s="98"/>
      <c r="E34" s="98"/>
      <c r="F34" s="97"/>
      <c r="G34" s="108"/>
      <c r="H34" s="108"/>
      <c r="I34" s="108"/>
      <c r="J34" s="108"/>
      <c r="K34" s="98"/>
      <c r="L34" s="98"/>
    </row>
    <row r="35" spans="2:12">
      <c r="B35" s="96" t="s">
        <v>11</v>
      </c>
      <c r="C35" s="98"/>
      <c r="D35" s="98"/>
      <c r="E35" s="98"/>
      <c r="F35" s="97"/>
      <c r="G35" s="108"/>
      <c r="H35" s="108"/>
      <c r="I35" s="108"/>
      <c r="J35" s="108"/>
      <c r="K35" s="98"/>
      <c r="L35" s="98"/>
    </row>
    <row r="36" spans="2:12">
      <c r="B36" s="98" t="s">
        <v>12</v>
      </c>
      <c r="C36" s="98"/>
      <c r="D36" s="98"/>
      <c r="E36" s="98"/>
      <c r="F36" s="97"/>
      <c r="G36" s="128"/>
      <c r="H36" s="128"/>
      <c r="I36" s="128"/>
      <c r="J36" s="128">
        <f>ROUND(J31/I31-1,3)</f>
        <v>0.13200000000000001</v>
      </c>
      <c r="K36" s="110">
        <f>CHOOSE($C$6,K39,K40,K41)</f>
        <v>0.2</v>
      </c>
      <c r="L36" s="110">
        <f>CHOOSE($C$6,L39,L40,L41)</f>
        <v>0.2</v>
      </c>
    </row>
    <row r="37" spans="2:12">
      <c r="B37" s="98"/>
      <c r="C37" s="98"/>
      <c r="D37" s="98"/>
      <c r="E37" s="98"/>
      <c r="F37" s="97"/>
      <c r="G37" s="97"/>
      <c r="H37" s="97"/>
      <c r="I37" s="97"/>
      <c r="J37" s="127"/>
      <c r="K37" s="98"/>
      <c r="L37" s="98"/>
    </row>
    <row r="38" spans="2:12">
      <c r="B38" s="125" t="s">
        <v>12</v>
      </c>
    </row>
    <row r="39" spans="2:12">
      <c r="B39" s="96" t="str">
        <f>B23</f>
        <v>Base Case</v>
      </c>
      <c r="K39" s="109">
        <v>0.2</v>
      </c>
      <c r="L39" s="109">
        <v>0.2</v>
      </c>
    </row>
    <row r="40" spans="2:12">
      <c r="B40" s="96" t="str">
        <f>B24</f>
        <v>Bull Case</v>
      </c>
      <c r="C40" s="105" t="str">
        <f>"+3%"</f>
        <v>+3%</v>
      </c>
      <c r="K40" s="108">
        <f>K39+$C40</f>
        <v>0.23</v>
      </c>
      <c r="L40" s="108">
        <f>L39+$C40</f>
        <v>0.23</v>
      </c>
    </row>
    <row r="41" spans="2:12">
      <c r="B41" s="96" t="str">
        <f>B25</f>
        <v>Bear Case</v>
      </c>
      <c r="C41" s="105" t="str">
        <f>"-3%"</f>
        <v>-3%</v>
      </c>
      <c r="K41" s="108">
        <f>K39+$C41</f>
        <v>0.17</v>
      </c>
      <c r="L41" s="108">
        <f>L39+$C41</f>
        <v>0.17</v>
      </c>
    </row>
    <row r="43" spans="2:12" ht="17.100000000000001">
      <c r="B43" s="150" t="s">
        <v>205</v>
      </c>
    </row>
    <row r="44" spans="2:12" ht="2.1" customHeight="1">
      <c r="B44" s="125"/>
    </row>
    <row r="45" spans="2:12">
      <c r="B45" s="96" t="s">
        <v>10</v>
      </c>
      <c r="F45" s="102"/>
      <c r="G45" s="102"/>
      <c r="H45" s="102"/>
      <c r="I45" s="102">
        <v>2079</v>
      </c>
      <c r="J45" s="96">
        <v>2881</v>
      </c>
    </row>
    <row r="46" spans="2:12">
      <c r="B46" s="96" t="s">
        <v>11</v>
      </c>
      <c r="F46" s="102"/>
      <c r="G46" s="102"/>
      <c r="H46" s="102"/>
      <c r="I46" s="102">
        <v>0</v>
      </c>
      <c r="J46" s="102">
        <v>0</v>
      </c>
    </row>
    <row r="47" spans="2:12">
      <c r="B47" s="98" t="s">
        <v>12</v>
      </c>
      <c r="C47" s="98"/>
      <c r="D47" s="98"/>
      <c r="E47" s="98"/>
      <c r="F47" s="97"/>
      <c r="G47" s="97"/>
      <c r="H47" s="97"/>
      <c r="I47" s="97">
        <f>SUM(I45:I46)</f>
        <v>2079</v>
      </c>
      <c r="J47" s="97">
        <f t="shared" ref="J47" si="1">SUM(J45:J46)</f>
        <v>2881</v>
      </c>
      <c r="K47" s="126">
        <f>ROUND(J47*(1+K52),2)</f>
        <v>4091.02</v>
      </c>
      <c r="L47" s="126">
        <f>ROUND(K47*(1+L52),2)</f>
        <v>5727.43</v>
      </c>
    </row>
    <row r="48" spans="2:12">
      <c r="B48" s="98"/>
      <c r="C48" s="98"/>
      <c r="D48" s="98"/>
      <c r="E48" s="98"/>
      <c r="F48" s="97"/>
      <c r="G48" s="97"/>
      <c r="H48" s="97"/>
      <c r="I48" s="97"/>
      <c r="J48" s="97"/>
      <c r="K48" s="98"/>
      <c r="L48" s="98"/>
    </row>
    <row r="49" spans="2:12">
      <c r="B49" s="125" t="s">
        <v>254</v>
      </c>
      <c r="C49" s="98"/>
      <c r="D49" s="98"/>
      <c r="E49" s="98"/>
      <c r="F49" s="97"/>
      <c r="G49" s="97"/>
      <c r="H49" s="97"/>
      <c r="I49" s="97"/>
      <c r="J49" s="97"/>
      <c r="K49" s="98"/>
      <c r="L49" s="98"/>
    </row>
    <row r="50" spans="2:12">
      <c r="B50" s="96" t="s">
        <v>10</v>
      </c>
      <c r="C50" s="98"/>
      <c r="D50" s="98"/>
      <c r="E50" s="98"/>
      <c r="F50" s="97"/>
      <c r="G50" s="108"/>
      <c r="H50" s="108"/>
      <c r="I50" s="108"/>
      <c r="J50" s="108"/>
      <c r="K50" s="98"/>
      <c r="L50" s="98"/>
    </row>
    <row r="51" spans="2:12">
      <c r="B51" s="96" t="s">
        <v>11</v>
      </c>
      <c r="C51" s="98"/>
      <c r="D51" s="98"/>
      <c r="E51" s="98"/>
      <c r="F51" s="97"/>
      <c r="G51" s="108"/>
      <c r="H51" s="108"/>
      <c r="I51" s="108"/>
      <c r="J51" s="108"/>
      <c r="K51" s="98"/>
      <c r="L51" s="98"/>
    </row>
    <row r="52" spans="2:12">
      <c r="B52" s="98" t="s">
        <v>12</v>
      </c>
      <c r="C52" s="98"/>
      <c r="D52" s="98"/>
      <c r="E52" s="98"/>
      <c r="F52" s="97"/>
      <c r="G52" s="128"/>
      <c r="H52" s="128"/>
      <c r="I52" s="128"/>
      <c r="J52" s="128">
        <f>ROUND(J47/I47-1,3)</f>
        <v>0.38600000000000001</v>
      </c>
      <c r="K52" s="110">
        <f>CHOOSE($C$6,K55,K56,K57)</f>
        <v>0.42</v>
      </c>
      <c r="L52" s="110">
        <f>CHOOSE($C$6,L55,L56,L57)</f>
        <v>0.4</v>
      </c>
    </row>
    <row r="53" spans="2:12">
      <c r="B53" s="98"/>
      <c r="C53" s="98"/>
      <c r="D53" s="98"/>
      <c r="E53" s="98"/>
      <c r="F53" s="97"/>
      <c r="G53" s="97"/>
      <c r="H53" s="97"/>
      <c r="I53" s="97"/>
      <c r="J53" s="97"/>
      <c r="K53" s="98"/>
      <c r="L53" s="98"/>
    </row>
    <row r="54" spans="2:12">
      <c r="B54" s="125" t="s">
        <v>12</v>
      </c>
      <c r="I54" s="99"/>
    </row>
    <row r="55" spans="2:12">
      <c r="B55" s="96" t="str">
        <f>B39</f>
        <v>Base Case</v>
      </c>
      <c r="K55" s="109">
        <v>0.42</v>
      </c>
      <c r="L55" s="109">
        <v>0.4</v>
      </c>
    </row>
    <row r="56" spans="2:12">
      <c r="B56" s="96" t="str">
        <f>B40</f>
        <v>Bull Case</v>
      </c>
      <c r="C56" s="105" t="str">
        <f>"+10%"</f>
        <v>+10%</v>
      </c>
      <c r="K56" s="108">
        <f>K55+$C56</f>
        <v>0.52</v>
      </c>
      <c r="L56" s="108">
        <f>L55+$C56</f>
        <v>0.5</v>
      </c>
    </row>
    <row r="57" spans="2:12">
      <c r="B57" s="96" t="str">
        <f>B41</f>
        <v>Bear Case</v>
      </c>
      <c r="C57" s="105" t="str">
        <f>"-8%"</f>
        <v>-8%</v>
      </c>
      <c r="K57" s="108">
        <f>K55+$C57</f>
        <v>0.33999999999999997</v>
      </c>
      <c r="L57" s="108">
        <f>L55+$C57</f>
        <v>0.32</v>
      </c>
    </row>
    <row r="59" spans="2:12" ht="17.100000000000001">
      <c r="B59" s="150" t="s">
        <v>206</v>
      </c>
    </row>
    <row r="60" spans="2:12" ht="2.1" customHeight="1"/>
    <row r="61" spans="2:12">
      <c r="B61" s="96" t="s">
        <v>10</v>
      </c>
      <c r="F61" s="102"/>
      <c r="G61" s="102"/>
      <c r="H61" s="102"/>
      <c r="I61" s="102">
        <v>629</v>
      </c>
      <c r="J61" s="102">
        <v>1144</v>
      </c>
    </row>
    <row r="62" spans="2:12">
      <c r="B62" s="96" t="s">
        <v>11</v>
      </c>
      <c r="F62" s="102"/>
      <c r="G62" s="102"/>
      <c r="H62" s="102"/>
      <c r="I62" s="102">
        <v>0</v>
      </c>
      <c r="J62" s="102">
        <v>0</v>
      </c>
    </row>
    <row r="63" spans="2:12">
      <c r="B63" s="98" t="s">
        <v>12</v>
      </c>
      <c r="C63" s="98"/>
      <c r="D63" s="98"/>
      <c r="E63" s="98"/>
      <c r="F63" s="97"/>
      <c r="G63" s="97"/>
      <c r="H63" s="97"/>
      <c r="I63" s="97">
        <f>SUM(I61:I62)</f>
        <v>629</v>
      </c>
      <c r="J63" s="97">
        <f t="shared" ref="J63" si="2">SUM(J61:J62)</f>
        <v>1144</v>
      </c>
      <c r="K63" s="126">
        <f>ROUND(J63*(1+K68),2)</f>
        <v>2002</v>
      </c>
      <c r="L63" s="126">
        <f>ROUND(K63*(1+L68),2)</f>
        <v>3203.2</v>
      </c>
    </row>
    <row r="64" spans="2:12">
      <c r="B64" s="98"/>
      <c r="C64" s="98"/>
      <c r="D64" s="98"/>
      <c r="E64" s="98"/>
      <c r="F64" s="97"/>
      <c r="G64" s="97"/>
      <c r="H64" s="97"/>
      <c r="I64" s="97"/>
      <c r="J64" s="127"/>
      <c r="K64" s="98"/>
      <c r="L64" s="98"/>
    </row>
    <row r="65" spans="2:12">
      <c r="B65" s="125" t="s">
        <v>254</v>
      </c>
      <c r="C65" s="98"/>
      <c r="D65" s="98"/>
      <c r="E65" s="98"/>
      <c r="F65" s="97"/>
      <c r="G65" s="97"/>
      <c r="H65" s="97"/>
      <c r="I65" s="97"/>
      <c r="J65" s="97"/>
      <c r="K65" s="98"/>
      <c r="L65" s="98"/>
    </row>
    <row r="66" spans="2:12">
      <c r="B66" s="96" t="s">
        <v>10</v>
      </c>
      <c r="C66" s="98"/>
      <c r="D66" s="98"/>
      <c r="E66" s="98"/>
      <c r="F66" s="97"/>
      <c r="G66" s="108"/>
      <c r="H66" s="108"/>
      <c r="I66" s="108"/>
      <c r="J66" s="108"/>
      <c r="K66" s="98"/>
      <c r="L66" s="98"/>
    </row>
    <row r="67" spans="2:12">
      <c r="B67" s="96" t="s">
        <v>11</v>
      </c>
      <c r="C67" s="98"/>
      <c r="D67" s="98"/>
      <c r="E67" s="98"/>
      <c r="F67" s="97"/>
      <c r="G67" s="108"/>
      <c r="H67" s="108"/>
      <c r="I67" s="108"/>
      <c r="J67" s="108"/>
      <c r="K67" s="98"/>
      <c r="L67" s="98"/>
    </row>
    <row r="68" spans="2:12">
      <c r="B68" s="98" t="s">
        <v>12</v>
      </c>
      <c r="C68" s="98"/>
      <c r="D68" s="98"/>
      <c r="E68" s="98"/>
      <c r="F68" s="97"/>
      <c r="G68" s="128"/>
      <c r="H68" s="128"/>
      <c r="I68" s="128"/>
      <c r="J68" s="128">
        <f>ROUND(J63/I63-1,3)</f>
        <v>0.81899999999999995</v>
      </c>
      <c r="K68" s="110">
        <f>CHOOSE($C$6,K71,K72,K73)</f>
        <v>0.75</v>
      </c>
      <c r="L68" s="110">
        <f>CHOOSE($C$6,L71,L72,L73)</f>
        <v>0.6</v>
      </c>
    </row>
    <row r="69" spans="2:12">
      <c r="B69" s="98"/>
      <c r="C69" s="98"/>
      <c r="D69" s="98"/>
      <c r="E69" s="98"/>
      <c r="F69" s="97"/>
      <c r="G69" s="97"/>
      <c r="H69" s="97"/>
      <c r="I69" s="97"/>
      <c r="J69" s="127"/>
      <c r="K69" s="98"/>
      <c r="L69" s="98"/>
    </row>
    <row r="70" spans="2:12">
      <c r="B70" s="125" t="s">
        <v>12</v>
      </c>
    </row>
    <row r="71" spans="2:12">
      <c r="B71" s="96" t="str">
        <f>B55</f>
        <v>Base Case</v>
      </c>
      <c r="K71" s="109">
        <v>0.75</v>
      </c>
      <c r="L71" s="109">
        <v>0.6</v>
      </c>
    </row>
    <row r="72" spans="2:12">
      <c r="B72" s="96" t="str">
        <f>B56</f>
        <v>Bull Case</v>
      </c>
      <c r="C72" s="105" t="str">
        <f>"+20%"</f>
        <v>+20%</v>
      </c>
      <c r="K72" s="108">
        <f>K71+$C72</f>
        <v>0.95</v>
      </c>
      <c r="L72" s="108">
        <f>L71+$C72</f>
        <v>0.8</v>
      </c>
    </row>
    <row r="73" spans="2:12">
      <c r="B73" s="96" t="str">
        <f>B57</f>
        <v>Bear Case</v>
      </c>
      <c r="C73" s="105" t="str">
        <f>"-10%"</f>
        <v>-10%</v>
      </c>
      <c r="K73" s="108">
        <f>K71+$C73</f>
        <v>0.65</v>
      </c>
      <c r="L73" s="108">
        <f>L71+$C73</f>
        <v>0.5</v>
      </c>
    </row>
    <row r="75" spans="2:12" ht="17.100000000000001">
      <c r="B75" s="150" t="s">
        <v>201</v>
      </c>
    </row>
    <row r="76" spans="2:12" ht="2.1" customHeight="1"/>
    <row r="77" spans="2:12">
      <c r="B77" s="96" t="s">
        <v>10</v>
      </c>
      <c r="F77" s="102"/>
      <c r="G77" s="102"/>
      <c r="H77" s="102"/>
      <c r="I77" s="102">
        <f>'Consol. Historical FS'!F9-(Scenarios!I31+Scenarios!I47+Scenarios!I63)</f>
        <v>94.56000000000131</v>
      </c>
      <c r="J77" s="102">
        <f>'Consol. Historical FS'!G9-(Scenarios!J31+Scenarios!J47+Scenarios!J63)</f>
        <v>-602.66999999999825</v>
      </c>
    </row>
    <row r="78" spans="2:12">
      <c r="B78" s="96" t="s">
        <v>11</v>
      </c>
      <c r="F78" s="102"/>
      <c r="G78" s="102"/>
      <c r="H78" s="102"/>
      <c r="I78" s="102">
        <v>0</v>
      </c>
      <c r="J78" s="102">
        <v>0</v>
      </c>
    </row>
    <row r="79" spans="2:12">
      <c r="B79" s="98" t="s">
        <v>12</v>
      </c>
      <c r="C79" s="98"/>
      <c r="D79" s="98"/>
      <c r="E79" s="98"/>
      <c r="F79" s="97"/>
      <c r="G79" s="97"/>
      <c r="H79" s="97"/>
      <c r="I79" s="97">
        <f>SUM(I77:I78)</f>
        <v>94.56000000000131</v>
      </c>
      <c r="J79" s="97">
        <f t="shared" ref="J79" si="3">SUM(J77:J78)</f>
        <v>-602.66999999999825</v>
      </c>
      <c r="K79" s="126">
        <f>ROUND(J79*(1+K84),2)</f>
        <v>-753.34</v>
      </c>
      <c r="L79" s="126">
        <f>ROUND(K79*(1+L84),2)</f>
        <v>-941.68</v>
      </c>
    </row>
    <row r="80" spans="2:12">
      <c r="B80" s="98"/>
      <c r="C80" s="98"/>
      <c r="D80" s="98"/>
      <c r="E80" s="98"/>
      <c r="F80" s="97"/>
      <c r="G80" s="97"/>
      <c r="H80" s="97"/>
      <c r="I80" s="97"/>
      <c r="J80" s="127"/>
      <c r="K80" s="98"/>
      <c r="L80" s="98"/>
    </row>
    <row r="81" spans="2:12">
      <c r="B81" s="125" t="s">
        <v>254</v>
      </c>
      <c r="C81" s="98"/>
      <c r="D81" s="98"/>
      <c r="E81" s="98"/>
      <c r="F81" s="97"/>
      <c r="G81" s="97"/>
      <c r="H81" s="97"/>
      <c r="I81" s="97"/>
      <c r="J81" s="97"/>
      <c r="K81" s="98"/>
      <c r="L81" s="98"/>
    </row>
    <row r="82" spans="2:12">
      <c r="B82" s="96" t="s">
        <v>10</v>
      </c>
      <c r="C82" s="98"/>
      <c r="D82" s="98"/>
      <c r="E82" s="98"/>
      <c r="F82" s="97"/>
      <c r="G82" s="108"/>
      <c r="H82" s="108"/>
      <c r="I82" s="108"/>
      <c r="J82" s="108"/>
      <c r="K82" s="98"/>
      <c r="L82" s="98"/>
    </row>
    <row r="83" spans="2:12">
      <c r="B83" s="96" t="s">
        <v>11</v>
      </c>
      <c r="C83" s="98"/>
      <c r="D83" s="98"/>
      <c r="E83" s="98"/>
      <c r="F83" s="97"/>
      <c r="G83" s="108"/>
      <c r="H83" s="108"/>
      <c r="I83" s="108"/>
      <c r="J83" s="108"/>
      <c r="K83" s="98"/>
      <c r="L83" s="98"/>
    </row>
    <row r="84" spans="2:12">
      <c r="B84" s="98" t="s">
        <v>12</v>
      </c>
      <c r="C84" s="98"/>
      <c r="D84" s="98"/>
      <c r="E84" s="98"/>
      <c r="F84" s="97"/>
      <c r="G84" s="128"/>
      <c r="H84" s="128"/>
      <c r="I84" s="128"/>
      <c r="J84" s="128">
        <f>ROUND(J79/I79-1,3)</f>
        <v>-7.3730000000000002</v>
      </c>
      <c r="K84" s="110">
        <f>CHOOSE($C$6,K87,K88,K89)</f>
        <v>0.25</v>
      </c>
      <c r="L84" s="110">
        <f>CHOOSE($C$6,L87,L88,L89)</f>
        <v>0.25</v>
      </c>
    </row>
    <row r="85" spans="2:12">
      <c r="B85" s="98"/>
      <c r="C85" s="98"/>
      <c r="D85" s="98"/>
      <c r="E85" s="98"/>
      <c r="F85" s="97"/>
      <c r="G85" s="97"/>
      <c r="H85" s="97"/>
      <c r="I85" s="97"/>
      <c r="J85" s="127"/>
      <c r="K85" s="98"/>
      <c r="L85" s="98"/>
    </row>
    <row r="86" spans="2:12">
      <c r="B86" s="125" t="s">
        <v>12</v>
      </c>
    </row>
    <row r="87" spans="2:12">
      <c r="B87" s="96" t="str">
        <f>B71</f>
        <v>Base Case</v>
      </c>
      <c r="K87" s="109">
        <v>0.25</v>
      </c>
      <c r="L87" s="109">
        <v>0.25</v>
      </c>
    </row>
    <row r="88" spans="2:12">
      <c r="B88" s="96" t="str">
        <f>B72</f>
        <v>Bull Case</v>
      </c>
      <c r="C88" s="105" t="str">
        <f>"+2%"</f>
        <v>+2%</v>
      </c>
      <c r="K88" s="108">
        <f>K87+$C88</f>
        <v>0.27</v>
      </c>
      <c r="L88" s="108">
        <f>L87+$C88</f>
        <v>0.27</v>
      </c>
    </row>
    <row r="89" spans="2:12">
      <c r="B89" s="96" t="str">
        <f>B73</f>
        <v>Bear Case</v>
      </c>
      <c r="C89" s="105" t="str">
        <f>"-2%"</f>
        <v>-2%</v>
      </c>
      <c r="K89" s="108">
        <f>K87+$C89</f>
        <v>0.23</v>
      </c>
      <c r="L89" s="108">
        <f>L87+$C89</f>
        <v>0.23</v>
      </c>
    </row>
    <row r="90" spans="2:12">
      <c r="C90" s="105"/>
      <c r="K90" s="108"/>
      <c r="L90" s="108"/>
    </row>
    <row r="91" spans="2:12" ht="19.5" hidden="1">
      <c r="B91" s="151" t="s">
        <v>255</v>
      </c>
      <c r="C91" s="105"/>
      <c r="K91" s="108"/>
      <c r="L91" s="108"/>
    </row>
    <row r="92" spans="2:12" ht="2.1" hidden="1" customHeight="1"/>
    <row r="93" spans="2:12" ht="17.25" hidden="1">
      <c r="B93" s="150"/>
    </row>
    <row r="94" spans="2:12" ht="2.1" hidden="1" customHeight="1"/>
    <row r="95" spans="2:12" ht="14.45" hidden="1" customHeight="1">
      <c r="B95" s="96" t="s">
        <v>12</v>
      </c>
      <c r="F95" s="102">
        <v>0</v>
      </c>
      <c r="G95" s="102">
        <v>0</v>
      </c>
      <c r="H95" s="102">
        <v>0</v>
      </c>
      <c r="I95" s="102">
        <v>0</v>
      </c>
      <c r="J95" s="102">
        <v>0</v>
      </c>
      <c r="K95" s="126">
        <f>ROUND(J95*(1+K98),3)</f>
        <v>0</v>
      </c>
      <c r="L95" s="126">
        <f>ROUND(K95*(1+L98),3)</f>
        <v>0</v>
      </c>
    </row>
    <row r="96" spans="2:12" ht="14.45" hidden="1" customHeight="1"/>
    <row r="97" spans="2:12" ht="14.45" hidden="1" customHeight="1">
      <c r="B97" s="125" t="s">
        <v>254</v>
      </c>
    </row>
    <row r="98" spans="2:12" ht="14.45" hidden="1" customHeight="1">
      <c r="B98" s="96" t="s">
        <v>12</v>
      </c>
      <c r="G98" s="108" t="e">
        <f>ROUND(G95/F95-1,3)</f>
        <v>#DIV/0!</v>
      </c>
      <c r="H98" s="108" t="e">
        <f>ROUND(H95/G95-1,3)</f>
        <v>#DIV/0!</v>
      </c>
      <c r="I98" s="108" t="e">
        <f>ROUND(I95/H95-1,3)</f>
        <v>#DIV/0!</v>
      </c>
      <c r="J98" s="108" t="e">
        <f>ROUND(J95/I95-1,3)</f>
        <v>#DIV/0!</v>
      </c>
      <c r="K98" s="110">
        <f>CHOOSE($C$6,K101,K102,K103)</f>
        <v>0.2</v>
      </c>
      <c r="L98" s="110">
        <f>CHOOSE($C$6,L101,L102,L103)</f>
        <v>0.2</v>
      </c>
    </row>
    <row r="99" spans="2:12" ht="14.45" hidden="1" customHeight="1"/>
    <row r="100" spans="2:12" ht="14.45" hidden="1" customHeight="1">
      <c r="B100" s="125" t="s">
        <v>12</v>
      </c>
    </row>
    <row r="101" spans="2:12" ht="14.45" hidden="1" customHeight="1">
      <c r="B101" s="96" t="str">
        <f>B87</f>
        <v>Base Case</v>
      </c>
      <c r="K101" s="109">
        <v>0.2</v>
      </c>
      <c r="L101" s="109">
        <v>0.2</v>
      </c>
    </row>
    <row r="102" spans="2:12" ht="14.45" hidden="1" customHeight="1">
      <c r="B102" s="96" t="str">
        <f>B88</f>
        <v>Bull Case</v>
      </c>
      <c r="C102" s="105" t="str">
        <f>"+3%"</f>
        <v>+3%</v>
      </c>
      <c r="K102" s="108">
        <f>K101+$C102</f>
        <v>0.23</v>
      </c>
      <c r="L102" s="108">
        <f>L101+$C102</f>
        <v>0.23</v>
      </c>
    </row>
    <row r="103" spans="2:12" ht="14.45" hidden="1" customHeight="1">
      <c r="B103" s="96" t="str">
        <f>B89</f>
        <v>Bear Case</v>
      </c>
      <c r="C103" s="105" t="str">
        <f>"-3%"</f>
        <v>-3%</v>
      </c>
      <c r="K103" s="108">
        <f>K101+$C103</f>
        <v>0.17</v>
      </c>
      <c r="L103" s="108">
        <f>L101+$C103</f>
        <v>0.17</v>
      </c>
    </row>
    <row r="104" spans="2:12" ht="14.45" hidden="1" customHeight="1"/>
    <row r="105" spans="2:12" ht="14.45" hidden="1" customHeight="1">
      <c r="B105" s="150" t="s">
        <v>256</v>
      </c>
    </row>
    <row r="106" spans="2:12" ht="2.1" hidden="1" customHeight="1"/>
    <row r="107" spans="2:12" ht="14.45" hidden="1" customHeight="1">
      <c r="B107" s="96" t="s">
        <v>12</v>
      </c>
      <c r="F107" s="102">
        <v>0</v>
      </c>
      <c r="G107" s="102">
        <v>0</v>
      </c>
      <c r="H107" s="102">
        <v>0</v>
      </c>
      <c r="I107" s="102">
        <v>0</v>
      </c>
      <c r="J107" s="102">
        <v>0</v>
      </c>
      <c r="K107" s="126">
        <f>ROUND(J107*(1+K110),3)</f>
        <v>0</v>
      </c>
      <c r="L107" s="126">
        <f>ROUND(K107*(1+L110),3)</f>
        <v>0</v>
      </c>
    </row>
    <row r="108" spans="2:12" ht="14.45" hidden="1" customHeight="1"/>
    <row r="109" spans="2:12" ht="14.45" hidden="1" customHeight="1">
      <c r="B109" s="125" t="s">
        <v>254</v>
      </c>
    </row>
    <row r="110" spans="2:12" ht="14.45" hidden="1" customHeight="1">
      <c r="B110" s="96" t="s">
        <v>12</v>
      </c>
      <c r="G110" s="108" t="e">
        <f>ROUND(G107/F107-1,3)</f>
        <v>#DIV/0!</v>
      </c>
      <c r="H110" s="108" t="e">
        <f>ROUND(H107/G107-1,3)</f>
        <v>#DIV/0!</v>
      </c>
      <c r="I110" s="108" t="e">
        <f>ROUND(I107/H107-1,3)</f>
        <v>#DIV/0!</v>
      </c>
      <c r="J110" s="108" t="e">
        <f>ROUND(J107/I107-1,3)</f>
        <v>#DIV/0!</v>
      </c>
      <c r="K110" s="110">
        <f>CHOOSE($C$6,K113,K114,K115)</f>
        <v>0.17</v>
      </c>
      <c r="L110" s="110">
        <f>CHOOSE($C$6,L113,L114,L115)</f>
        <v>0.19</v>
      </c>
    </row>
    <row r="111" spans="2:12" ht="14.45" hidden="1" customHeight="1"/>
    <row r="112" spans="2:12" ht="14.45" hidden="1" customHeight="1">
      <c r="B112" s="125" t="s">
        <v>12</v>
      </c>
    </row>
    <row r="113" spans="1:12" ht="14.45" hidden="1" customHeight="1">
      <c r="B113" s="96" t="str">
        <f>B101</f>
        <v>Base Case</v>
      </c>
      <c r="K113" s="109">
        <v>0.17</v>
      </c>
      <c r="L113" s="109">
        <v>0.19</v>
      </c>
    </row>
    <row r="114" spans="1:12" ht="14.45" hidden="1" customHeight="1">
      <c r="B114" s="96" t="str">
        <f>B102</f>
        <v>Bull Case</v>
      </c>
      <c r="C114" s="105" t="str">
        <f>"+2%"</f>
        <v>+2%</v>
      </c>
      <c r="K114" s="108">
        <f>K113+$C114</f>
        <v>0.19</v>
      </c>
      <c r="L114" s="108">
        <f>L113+$C114</f>
        <v>0.21</v>
      </c>
    </row>
    <row r="115" spans="1:12" ht="14.45" hidden="1" customHeight="1">
      <c r="B115" s="96" t="str">
        <f>B103</f>
        <v>Bear Case</v>
      </c>
      <c r="C115" s="105" t="str">
        <f>"-3%"</f>
        <v>-3%</v>
      </c>
      <c r="K115" s="108">
        <f>K113+$C115</f>
        <v>0.14000000000000001</v>
      </c>
      <c r="L115" s="108">
        <f>L113+$C115</f>
        <v>0.16</v>
      </c>
    </row>
    <row r="116" spans="1:12" ht="14.45" hidden="1" customHeight="1"/>
    <row r="117" spans="1:12" ht="17.25" hidden="1">
      <c r="A117" s="114"/>
      <c r="B117" s="150" t="s">
        <v>257</v>
      </c>
    </row>
    <row r="118" spans="1:12" ht="2.1" hidden="1" customHeight="1"/>
    <row r="119" spans="1:12" hidden="1">
      <c r="B119" s="96" t="s">
        <v>12</v>
      </c>
      <c r="F119" s="102">
        <v>0</v>
      </c>
      <c r="G119" s="102">
        <v>0</v>
      </c>
      <c r="H119" s="102">
        <v>0</v>
      </c>
      <c r="I119" s="102">
        <v>0</v>
      </c>
      <c r="J119" s="102">
        <v>0</v>
      </c>
      <c r="K119" s="126">
        <f>ROUND(J119*(1+K122),3)</f>
        <v>0</v>
      </c>
      <c r="L119" s="126">
        <f>ROUND(K119*(1+L122),3)</f>
        <v>0</v>
      </c>
    </row>
    <row r="120" spans="1:12" hidden="1"/>
    <row r="121" spans="1:12" hidden="1">
      <c r="B121" s="125" t="s">
        <v>254</v>
      </c>
    </row>
    <row r="122" spans="1:12" hidden="1">
      <c r="B122" s="96" t="s">
        <v>12</v>
      </c>
      <c r="I122" s="108" t="e">
        <f>ROUND(I119/H119-1,3)</f>
        <v>#DIV/0!</v>
      </c>
      <c r="J122" s="108" t="e">
        <f>ROUND(J119/I119-1,3)</f>
        <v>#DIV/0!</v>
      </c>
      <c r="K122" s="110">
        <f>CHOOSE($C$6,K125,K126,K127)</f>
        <v>0.75</v>
      </c>
      <c r="L122" s="110">
        <f>CHOOSE($C$6,L125,L126,L127)</f>
        <v>0.65</v>
      </c>
    </row>
    <row r="123" spans="1:12" hidden="1"/>
    <row r="124" spans="1:12" hidden="1">
      <c r="B124" s="125" t="s">
        <v>12</v>
      </c>
    </row>
    <row r="125" spans="1:12" hidden="1">
      <c r="B125" s="96" t="str">
        <f>B113</f>
        <v>Base Case</v>
      </c>
      <c r="K125" s="109">
        <v>0.75</v>
      </c>
      <c r="L125" s="109">
        <v>0.65</v>
      </c>
    </row>
    <row r="126" spans="1:12" hidden="1">
      <c r="B126" s="96" t="str">
        <f>B114</f>
        <v>Bull Case</v>
      </c>
      <c r="C126" s="105" t="str">
        <f>"+10%"</f>
        <v>+10%</v>
      </c>
      <c r="K126" s="108">
        <f>K125+$C126</f>
        <v>0.85</v>
      </c>
      <c r="L126" s="108">
        <f>L125+$C126</f>
        <v>0.75</v>
      </c>
    </row>
    <row r="127" spans="1:12" hidden="1">
      <c r="B127" s="96" t="str">
        <f>B115</f>
        <v>Bear Case</v>
      </c>
      <c r="C127" s="105" t="str">
        <f>"-10%"</f>
        <v>-10%</v>
      </c>
      <c r="K127" s="108">
        <f>K125+$C127</f>
        <v>0.65</v>
      </c>
      <c r="L127" s="108">
        <f>L125+$C127</f>
        <v>0.55000000000000004</v>
      </c>
    </row>
    <row r="128" spans="1:12" hidden="1"/>
    <row r="129" spans="2:12" ht="17.25" hidden="1">
      <c r="B129" s="150" t="s">
        <v>258</v>
      </c>
    </row>
    <row r="130" spans="2:12" ht="2.1" hidden="1" customHeight="1"/>
    <row r="131" spans="2:12" hidden="1">
      <c r="B131" s="96" t="s">
        <v>12</v>
      </c>
      <c r="F131" s="102">
        <v>0</v>
      </c>
      <c r="G131" s="102">
        <v>0</v>
      </c>
      <c r="H131" s="102">
        <v>0</v>
      </c>
      <c r="I131" s="102">
        <v>0</v>
      </c>
      <c r="J131" s="102">
        <v>0</v>
      </c>
      <c r="K131" s="126">
        <f>ROUND(J131*(1+K134),3)</f>
        <v>0</v>
      </c>
      <c r="L131" s="126">
        <f>ROUND(K131*(1+L134),3)</f>
        <v>0</v>
      </c>
    </row>
    <row r="132" spans="2:12" hidden="1"/>
    <row r="133" spans="2:12" hidden="1">
      <c r="B133" s="125" t="s">
        <v>254</v>
      </c>
    </row>
    <row r="134" spans="2:12" hidden="1">
      <c r="B134" s="96" t="s">
        <v>12</v>
      </c>
      <c r="J134" s="108" t="e">
        <f>ROUND(J131/I131-1,3)</f>
        <v>#DIV/0!</v>
      </c>
      <c r="K134" s="110">
        <f>CHOOSE($C$6,K137,K138,K139)</f>
        <v>0.22</v>
      </c>
      <c r="L134" s="110">
        <f>CHOOSE($C$6,L137,L138,L139)</f>
        <v>0.25</v>
      </c>
    </row>
    <row r="135" spans="2:12" hidden="1"/>
    <row r="136" spans="2:12" hidden="1">
      <c r="B136" s="125" t="s">
        <v>12</v>
      </c>
    </row>
    <row r="137" spans="2:12" hidden="1">
      <c r="B137" s="96" t="str">
        <f>B125</f>
        <v>Base Case</v>
      </c>
      <c r="K137" s="109">
        <v>0.22</v>
      </c>
      <c r="L137" s="109">
        <v>0.25</v>
      </c>
    </row>
    <row r="138" spans="2:12" hidden="1">
      <c r="B138" s="96" t="str">
        <f>B126</f>
        <v>Bull Case</v>
      </c>
      <c r="C138" s="105" t="str">
        <f>"+2%"</f>
        <v>+2%</v>
      </c>
      <c r="K138" s="108">
        <f>K137+$C138</f>
        <v>0.24</v>
      </c>
      <c r="L138" s="108">
        <f>L137+$C138</f>
        <v>0.27</v>
      </c>
    </row>
    <row r="139" spans="2:12" hidden="1">
      <c r="B139" s="96" t="str">
        <f>B127</f>
        <v>Bear Case</v>
      </c>
      <c r="C139" s="105" t="str">
        <f>"-2%"</f>
        <v>-2%</v>
      </c>
      <c r="K139" s="108">
        <f>K137+$C139</f>
        <v>0.2</v>
      </c>
      <c r="L139" s="108">
        <f>L137+$C139</f>
        <v>0.23</v>
      </c>
    </row>
    <row r="140" spans="2:12" hidden="1"/>
    <row r="141" spans="2:12" ht="17.25" hidden="1">
      <c r="B141" s="150" t="s">
        <v>201</v>
      </c>
    </row>
    <row r="142" spans="2:12" ht="2.1" hidden="1" customHeight="1"/>
    <row r="143" spans="2:12" hidden="1">
      <c r="B143" s="96" t="s">
        <v>12</v>
      </c>
      <c r="F143" s="102"/>
      <c r="G143" s="102"/>
      <c r="H143" s="102"/>
      <c r="I143" s="102"/>
      <c r="J143" s="102"/>
      <c r="K143" s="126">
        <f>ROUND(J143*(1+K146),3)</f>
        <v>0</v>
      </c>
      <c r="L143" s="126">
        <f>ROUND(K143*(1+L146),3)</f>
        <v>0</v>
      </c>
    </row>
    <row r="144" spans="2:12" hidden="1"/>
    <row r="145" spans="1:12" hidden="1">
      <c r="B145" s="125" t="s">
        <v>254</v>
      </c>
    </row>
    <row r="146" spans="1:12" hidden="1">
      <c r="B146" s="96" t="s">
        <v>12</v>
      </c>
      <c r="G146" s="108" t="e">
        <f>ROUND(G143/F143-1,3)</f>
        <v>#DIV/0!</v>
      </c>
      <c r="H146" s="108" t="e">
        <f>ROUND(H143/G143-1,3)</f>
        <v>#DIV/0!</v>
      </c>
      <c r="I146" s="108" t="e">
        <f>ROUND(I143/H143-1,3)</f>
        <v>#DIV/0!</v>
      </c>
      <c r="J146" s="108" t="e">
        <f>ROUND(J143/I143-1,3)</f>
        <v>#DIV/0!</v>
      </c>
      <c r="K146" s="110">
        <f>CHOOSE($C$6,K149,K150,K151)</f>
        <v>0.06</v>
      </c>
      <c r="L146" s="110">
        <f>CHOOSE($C$6,L149,L150,L151)</f>
        <v>7.0000000000000007E-2</v>
      </c>
    </row>
    <row r="147" spans="1:12" hidden="1"/>
    <row r="148" spans="1:12" hidden="1">
      <c r="B148" s="125" t="s">
        <v>12</v>
      </c>
    </row>
    <row r="149" spans="1:12" hidden="1">
      <c r="B149" s="96" t="str">
        <f>B137</f>
        <v>Base Case</v>
      </c>
      <c r="K149" s="109">
        <v>0.06</v>
      </c>
      <c r="L149" s="109">
        <v>7.0000000000000007E-2</v>
      </c>
    </row>
    <row r="150" spans="1:12" hidden="1">
      <c r="B150" s="96" t="str">
        <f>B138</f>
        <v>Bull Case</v>
      </c>
      <c r="C150" s="105" t="str">
        <f>"+2%"</f>
        <v>+2%</v>
      </c>
      <c r="K150" s="108">
        <f>K149+$C150</f>
        <v>0.08</v>
      </c>
      <c r="L150" s="108">
        <f>L149+$C150</f>
        <v>9.0000000000000011E-2</v>
      </c>
    </row>
    <row r="151" spans="1:12" hidden="1">
      <c r="B151" s="96" t="str">
        <f>B139</f>
        <v>Bear Case</v>
      </c>
      <c r="C151" s="105" t="str">
        <f>"-2%"</f>
        <v>-2%</v>
      </c>
      <c r="K151" s="108">
        <f>K149+$C151</f>
        <v>3.9999999999999994E-2</v>
      </c>
      <c r="L151" s="108">
        <f>L149+$C151</f>
        <v>0.05</v>
      </c>
    </row>
    <row r="153" spans="1:12" ht="20.100000000000001">
      <c r="A153" s="147" t="s">
        <v>8</v>
      </c>
      <c r="B153" s="148" t="s">
        <v>259</v>
      </c>
      <c r="C153" s="149"/>
      <c r="D153" s="149"/>
      <c r="E153" s="149"/>
      <c r="F153" s="149"/>
      <c r="G153" s="149"/>
      <c r="H153" s="149"/>
      <c r="I153" s="149"/>
      <c r="J153" s="149"/>
      <c r="K153" s="149"/>
      <c r="L153" s="149"/>
    </row>
    <row r="154" spans="1:12">
      <c r="B154" s="96" t="s">
        <v>260</v>
      </c>
      <c r="I154" s="99"/>
      <c r="J154" s="99"/>
    </row>
    <row r="155" spans="1:12">
      <c r="B155" s="107" t="s">
        <v>13</v>
      </c>
      <c r="F155" s="99"/>
      <c r="G155" s="99"/>
      <c r="H155" s="99"/>
      <c r="I155" s="99"/>
      <c r="J155" s="99"/>
    </row>
    <row r="156" spans="1:12">
      <c r="B156" s="96" t="s">
        <v>261</v>
      </c>
      <c r="F156" s="99">
        <f>'Consol. Historical FS'!C10</f>
        <v>3259.49</v>
      </c>
      <c r="G156" s="99">
        <f>'Consol. Historical FS'!D10</f>
        <v>4865.1099999999997</v>
      </c>
      <c r="H156" s="99">
        <f>'Consol. Historical FS'!E10</f>
        <v>5654.56</v>
      </c>
      <c r="I156" s="99">
        <f>'Consol. Historical FS'!F10</f>
        <v>7116.34</v>
      </c>
      <c r="J156" s="99">
        <f>'Consol. Historical FS'!G10</f>
        <v>8069.75</v>
      </c>
      <c r="K156" s="99">
        <f>ROUND(K11*K157,2)</f>
        <v>10017.870000000001</v>
      </c>
      <c r="L156" s="99">
        <f>ROUND(L11*L157,2)</f>
        <v>12299.66</v>
      </c>
    </row>
    <row r="157" spans="1:12">
      <c r="B157" s="120" t="str">
        <f>"- as a % of revenue"</f>
        <v>- as a % of revenue</v>
      </c>
      <c r="F157" s="108">
        <f>'Consol. Common Size FS'!C10</f>
        <v>0.25972859692739209</v>
      </c>
      <c r="G157" s="108">
        <f>'Consol. Common Size FS'!D10</f>
        <v>0.28399999999999997</v>
      </c>
      <c r="H157" s="108">
        <f>'Consol. Common Size FS'!E10</f>
        <v>0.27100000000000002</v>
      </c>
      <c r="I157" s="108">
        <f>'Consol. Common Size FS'!F10</f>
        <v>0.26600000000000001</v>
      </c>
      <c r="J157" s="108">
        <f>'Consol. Common Size FS'!G10</f>
        <v>0.26500000000000001</v>
      </c>
      <c r="K157" s="110">
        <f>CHOOSE($C$6,K159,K160,K161)</f>
        <v>0.26500000000000001</v>
      </c>
      <c r="L157" s="110">
        <f>CHOOSE($C$6,L159,L160,L161)</f>
        <v>0.26200000000000001</v>
      </c>
    </row>
    <row r="159" spans="1:12">
      <c r="B159" s="96" t="str">
        <f>B149</f>
        <v>Base Case</v>
      </c>
      <c r="K159" s="109">
        <v>0.26500000000000001</v>
      </c>
      <c r="L159" s="109">
        <v>0.26200000000000001</v>
      </c>
    </row>
    <row r="160" spans="1:12">
      <c r="B160" s="96" t="str">
        <f>B150</f>
        <v>Bull Case</v>
      </c>
      <c r="C160" s="105" t="str">
        <f>"-0.5%"</f>
        <v>-0.5%</v>
      </c>
      <c r="K160" s="108">
        <f>K159+$C160</f>
        <v>0.26</v>
      </c>
      <c r="L160" s="108">
        <f>L159+$C160</f>
        <v>0.25700000000000001</v>
      </c>
    </row>
    <row r="161" spans="2:12">
      <c r="B161" s="96" t="str">
        <f>B151</f>
        <v>Bear Case</v>
      </c>
      <c r="C161" s="105" t="str">
        <f>"+0.5%"</f>
        <v>+0.5%</v>
      </c>
      <c r="K161" s="108">
        <f>K159+$C161</f>
        <v>0.27</v>
      </c>
      <c r="L161" s="108">
        <f>L159+$C161</f>
        <v>0.26700000000000002</v>
      </c>
    </row>
    <row r="162" spans="2:12" hidden="1"/>
    <row r="163" spans="2:12" hidden="1">
      <c r="B163" s="107" t="s">
        <v>262</v>
      </c>
    </row>
    <row r="164" spans="2:12" hidden="1">
      <c r="B164" s="96" t="s">
        <v>261</v>
      </c>
      <c r="F164" s="99">
        <v>0</v>
      </c>
      <c r="G164" s="99">
        <v>0</v>
      </c>
      <c r="H164" s="99">
        <v>0</v>
      </c>
      <c r="I164" s="99">
        <v>0</v>
      </c>
      <c r="J164" s="99">
        <v>0</v>
      </c>
      <c r="K164" s="99">
        <f>ROUND(K11*K165,2)</f>
        <v>0</v>
      </c>
      <c r="L164" s="99">
        <f>ROUND(L11*L165,2)</f>
        <v>0</v>
      </c>
    </row>
    <row r="165" spans="2:12" hidden="1">
      <c r="B165" s="120" t="str">
        <f>"- as a % of revenue"</f>
        <v>- as a % of revenue</v>
      </c>
      <c r="F165" s="108">
        <v>0</v>
      </c>
      <c r="G165" s="108">
        <v>0</v>
      </c>
      <c r="H165" s="108">
        <v>0</v>
      </c>
      <c r="I165" s="108">
        <v>0</v>
      </c>
      <c r="J165" s="108">
        <v>0</v>
      </c>
      <c r="K165" s="110">
        <f>J165</f>
        <v>0</v>
      </c>
      <c r="L165" s="110">
        <f>K165</f>
        <v>0</v>
      </c>
    </row>
    <row r="166" spans="2:12" hidden="1"/>
    <row r="167" spans="2:12" hidden="1">
      <c r="B167" s="96" t="str">
        <f>B159</f>
        <v>Base Case</v>
      </c>
      <c r="K167" s="109">
        <v>0</v>
      </c>
      <c r="L167" s="109">
        <v>0</v>
      </c>
    </row>
    <row r="168" spans="2:12" hidden="1">
      <c r="B168" s="96" t="str">
        <f>B160</f>
        <v>Bull Case</v>
      </c>
      <c r="C168" s="105">
        <v>0</v>
      </c>
      <c r="K168" s="108">
        <f>K167+$C168</f>
        <v>0</v>
      </c>
      <c r="L168" s="108">
        <f>L167+$C168</f>
        <v>0</v>
      </c>
    </row>
    <row r="169" spans="2:12" hidden="1">
      <c r="B169" s="96" t="str">
        <f>B161</f>
        <v>Bear Case</v>
      </c>
      <c r="C169" s="105">
        <v>0</v>
      </c>
      <c r="K169" s="108">
        <f>K167+$C169</f>
        <v>0</v>
      </c>
      <c r="L169" s="108">
        <f>L167+$C169</f>
        <v>0</v>
      </c>
    </row>
    <row r="170" spans="2:12" hidden="1"/>
    <row r="171" spans="2:12" hidden="1">
      <c r="B171" s="107" t="s">
        <v>263</v>
      </c>
    </row>
    <row r="172" spans="2:12" hidden="1">
      <c r="B172" s="96" t="s">
        <v>261</v>
      </c>
      <c r="F172" s="99">
        <v>0</v>
      </c>
      <c r="G172" s="99">
        <v>0</v>
      </c>
      <c r="H172" s="99">
        <v>0</v>
      </c>
      <c r="I172" s="99">
        <v>0</v>
      </c>
      <c r="J172" s="99">
        <v>0</v>
      </c>
      <c r="K172" s="99">
        <f>ROUND(K11*K173,2)</f>
        <v>0</v>
      </c>
      <c r="L172" s="99">
        <f>ROUND(L11*L173,2)</f>
        <v>0</v>
      </c>
    </row>
    <row r="173" spans="2:12" hidden="1">
      <c r="B173" s="120" t="str">
        <f>"- as a % of revenue"</f>
        <v>- as a % of revenue</v>
      </c>
      <c r="F173" s="108">
        <v>0</v>
      </c>
      <c r="G173" s="108">
        <v>0</v>
      </c>
      <c r="H173" s="108">
        <v>0</v>
      </c>
      <c r="I173" s="108">
        <v>0</v>
      </c>
      <c r="J173" s="108">
        <v>0</v>
      </c>
      <c r="K173" s="110">
        <f>J173</f>
        <v>0</v>
      </c>
      <c r="L173" s="110">
        <f>K173</f>
        <v>0</v>
      </c>
    </row>
    <row r="174" spans="2:12" hidden="1"/>
    <row r="175" spans="2:12" hidden="1">
      <c r="B175" s="96" t="str">
        <f>B167</f>
        <v>Base Case</v>
      </c>
      <c r="K175" s="109">
        <v>0</v>
      </c>
      <c r="L175" s="109">
        <v>0</v>
      </c>
    </row>
    <row r="176" spans="2:12" hidden="1">
      <c r="B176" s="96" t="str">
        <f>B168</f>
        <v>Bull Case</v>
      </c>
      <c r="C176" s="105">
        <v>0</v>
      </c>
      <c r="K176" s="108">
        <f>K175+$C176</f>
        <v>0</v>
      </c>
      <c r="L176" s="108">
        <f>L175+$C176</f>
        <v>0</v>
      </c>
    </row>
    <row r="177" spans="1:12" hidden="1">
      <c r="B177" s="96" t="str">
        <f>B169</f>
        <v>Bear Case</v>
      </c>
      <c r="C177" s="105">
        <v>0</v>
      </c>
      <c r="K177" s="108">
        <f>K175+$C177</f>
        <v>0</v>
      </c>
      <c r="L177" s="108">
        <f>L175+$C177</f>
        <v>0</v>
      </c>
    </row>
    <row r="179" spans="1:12" ht="20.100000000000001">
      <c r="A179" s="147" t="s">
        <v>8</v>
      </c>
      <c r="B179" s="148" t="s">
        <v>264</v>
      </c>
      <c r="C179" s="149"/>
      <c r="D179" s="149"/>
      <c r="E179" s="149"/>
      <c r="F179" s="149"/>
      <c r="G179" s="149"/>
      <c r="H179" s="149"/>
      <c r="I179" s="149"/>
      <c r="J179" s="149"/>
      <c r="K179" s="149"/>
      <c r="L179" s="149"/>
    </row>
    <row r="181" spans="1:12">
      <c r="B181" s="107" t="s">
        <v>265</v>
      </c>
      <c r="F181" s="99"/>
      <c r="G181" s="99"/>
      <c r="H181" s="99"/>
      <c r="I181" s="99"/>
      <c r="J181" s="99"/>
    </row>
    <row r="182" spans="1:12">
      <c r="B182" s="96" t="s">
        <v>261</v>
      </c>
      <c r="F182" s="99">
        <f>'Consol. Historical FS'!C14</f>
        <v>615.04999999999995</v>
      </c>
      <c r="G182" s="99">
        <f>'Consol. Historical FS'!D14</f>
        <v>779.43</v>
      </c>
      <c r="H182" s="99">
        <f>'Consol. Historical FS'!E14</f>
        <v>1178.17</v>
      </c>
      <c r="I182" s="99">
        <f>'Consol. Historical FS'!F14</f>
        <v>1896.4</v>
      </c>
      <c r="J182" s="99">
        <f>'Consol. Historical FS'!G14</f>
        <v>2008.66</v>
      </c>
      <c r="K182" s="99">
        <f>ROUND(K11*K183,2)</f>
        <v>2381.61</v>
      </c>
      <c r="L182" s="99">
        <f>ROUND(L11*L183,2)</f>
        <v>3051.44</v>
      </c>
    </row>
    <row r="183" spans="1:12">
      <c r="B183" s="120" t="str">
        <f>"- as a % of revenue"</f>
        <v>- as a % of revenue</v>
      </c>
      <c r="F183" s="108">
        <f>'Consol. Common Size FS'!C12</f>
        <v>4.9000000000000002E-2</v>
      </c>
      <c r="G183" s="108">
        <f>'Consol. Common Size FS'!D12</f>
        <v>4.5999999999999999E-2</v>
      </c>
      <c r="H183" s="108">
        <f>'Consol. Common Size FS'!E12</f>
        <v>5.7000000000000002E-2</v>
      </c>
      <c r="I183" s="108">
        <f>'Consol. Common Size FS'!F12</f>
        <v>7.0999999999999994E-2</v>
      </c>
      <c r="J183" s="108">
        <f>'Consol. Common Size FS'!G12</f>
        <v>6.6000000000000003E-2</v>
      </c>
      <c r="K183" s="110">
        <f>CHOOSE($C$6,K185,K186,K187)</f>
        <v>6.3E-2</v>
      </c>
      <c r="L183" s="110">
        <f>CHOOSE($C$6,L185,L186,L187)</f>
        <v>6.5000000000000002E-2</v>
      </c>
    </row>
    <row r="185" spans="1:12">
      <c r="B185" s="96" t="str">
        <f>B175</f>
        <v>Base Case</v>
      </c>
      <c r="K185" s="109">
        <v>6.3E-2</v>
      </c>
      <c r="L185" s="109">
        <v>6.5000000000000002E-2</v>
      </c>
    </row>
    <row r="186" spans="1:12">
      <c r="B186" s="96" t="str">
        <f>B176</f>
        <v>Bull Case</v>
      </c>
      <c r="C186" s="105" t="str">
        <f>"-0.25%"</f>
        <v>-0.25%</v>
      </c>
      <c r="K186" s="108">
        <f>K185+$C186</f>
        <v>6.0499999999999998E-2</v>
      </c>
      <c r="L186" s="108">
        <f>L185+$C186</f>
        <v>6.25E-2</v>
      </c>
    </row>
    <row r="187" spans="1:12">
      <c r="B187" s="96" t="str">
        <f>B177</f>
        <v>Bear Case</v>
      </c>
      <c r="C187" s="105" t="str">
        <f>"+0.25%"</f>
        <v>+0.25%</v>
      </c>
      <c r="K187" s="108">
        <f>K185+$C187</f>
        <v>6.5500000000000003E-2</v>
      </c>
      <c r="L187" s="108">
        <f>L185+$C187</f>
        <v>6.7500000000000004E-2</v>
      </c>
    </row>
    <row r="188" spans="1:12">
      <c r="C188" s="105"/>
      <c r="K188" s="108"/>
      <c r="L188" s="108"/>
    </row>
    <row r="189" spans="1:12">
      <c r="B189" s="107" t="s">
        <v>16</v>
      </c>
      <c r="F189" s="99"/>
      <c r="G189" s="99"/>
      <c r="H189" s="99"/>
      <c r="I189" s="99"/>
      <c r="J189" s="99"/>
    </row>
    <row r="190" spans="1:12">
      <c r="B190" s="96" t="s">
        <v>261</v>
      </c>
      <c r="F190" s="99">
        <f>'Consol. Historical FS'!C15</f>
        <v>0</v>
      </c>
      <c r="G190" s="99">
        <f>'Consol. Historical FS'!D15</f>
        <v>0</v>
      </c>
      <c r="H190" s="99">
        <f>'Consol. Historical FS'!E15</f>
        <v>0</v>
      </c>
      <c r="I190" s="99">
        <f>'Consol. Historical FS'!F15</f>
        <v>0</v>
      </c>
      <c r="J190" s="99">
        <f>'Consol. Historical FS'!G15</f>
        <v>0</v>
      </c>
      <c r="K190" s="99">
        <f>ROUND(K11*K191,2)</f>
        <v>0</v>
      </c>
      <c r="L190" s="99">
        <f>ROUND(L11*L191,2)</f>
        <v>0</v>
      </c>
    </row>
    <row r="191" spans="1:12">
      <c r="B191" s="120" t="str">
        <f>"- as a % of revenue"</f>
        <v>- as a % of revenue</v>
      </c>
      <c r="F191" s="108">
        <f>'Consol. Common Size FS'!C13</f>
        <v>0</v>
      </c>
      <c r="G191" s="108">
        <f>'Consol. Common Size FS'!D13</f>
        <v>0</v>
      </c>
      <c r="H191" s="108">
        <f>'Consol. Common Size FS'!E13</f>
        <v>0</v>
      </c>
      <c r="I191" s="108">
        <f>'Consol. Common Size FS'!F13</f>
        <v>0</v>
      </c>
      <c r="J191" s="108">
        <f>'Consol. Common Size FS'!G13</f>
        <v>0</v>
      </c>
      <c r="K191" s="110">
        <f>CHOOSE($C$6,K193,K194,K195)</f>
        <v>0</v>
      </c>
      <c r="L191" s="110">
        <f>CHOOSE($C$6,L193,L194,L195)</f>
        <v>0</v>
      </c>
    </row>
    <row r="193" spans="2:12">
      <c r="B193" s="96" t="str">
        <f>B185</f>
        <v>Base Case</v>
      </c>
      <c r="K193" s="109">
        <v>0</v>
      </c>
      <c r="L193" s="109">
        <v>0</v>
      </c>
    </row>
    <row r="194" spans="2:12">
      <c r="B194" s="96" t="str">
        <f>B186</f>
        <v>Bull Case</v>
      </c>
      <c r="C194" s="124">
        <v>0</v>
      </c>
      <c r="K194" s="108">
        <f>K193+$C194</f>
        <v>0</v>
      </c>
      <c r="L194" s="108">
        <f>L193+$C194</f>
        <v>0</v>
      </c>
    </row>
    <row r="195" spans="2:12">
      <c r="B195" s="96" t="str">
        <f>B187</f>
        <v>Bear Case</v>
      </c>
      <c r="C195" s="124">
        <v>0</v>
      </c>
      <c r="K195" s="108">
        <f>K193+$C195</f>
        <v>0</v>
      </c>
      <c r="L195" s="108">
        <f>L193+$C195</f>
        <v>0</v>
      </c>
    </row>
    <row r="197" spans="2:12">
      <c r="B197" s="107" t="s">
        <v>17</v>
      </c>
    </row>
    <row r="198" spans="2:12">
      <c r="B198" s="96" t="s">
        <v>261</v>
      </c>
      <c r="F198" s="99">
        <f>'Consol. Historical FS'!C16</f>
        <v>-23.620000000000005</v>
      </c>
      <c r="G198" s="99">
        <f>'Consol. Historical FS'!D16</f>
        <v>1949.81</v>
      </c>
      <c r="H198" s="99">
        <f>'Consol. Historical FS'!E16</f>
        <v>3072.05</v>
      </c>
      <c r="I198" s="99">
        <f>'Consol. Historical FS'!F16</f>
        <v>1946.72</v>
      </c>
      <c r="J198" s="99">
        <f>'Consol. Historical FS'!G16</f>
        <v>2256.4</v>
      </c>
      <c r="K198" s="99">
        <f>ROUND(K11*K199,2)</f>
        <v>2721.84</v>
      </c>
      <c r="L198" s="99">
        <f>ROUND(L11*L199,2)</f>
        <v>3380.06</v>
      </c>
    </row>
    <row r="199" spans="2:12">
      <c r="B199" s="120" t="str">
        <f>"- as a % of revenue"</f>
        <v>- as a % of revenue</v>
      </c>
      <c r="F199" s="108">
        <f>'Consol. Common Size FS'!C14</f>
        <v>-2E-3</v>
      </c>
      <c r="G199" s="108">
        <f>'Consol. Common Size FS'!D14</f>
        <v>0.114</v>
      </c>
      <c r="H199" s="108">
        <f>'Consol. Common Size FS'!E14</f>
        <v>0.14699999999999999</v>
      </c>
      <c r="I199" s="108">
        <f>'Consol. Common Size FS'!F14</f>
        <v>7.2999999999999995E-2</v>
      </c>
      <c r="J199" s="108">
        <f>'Consol. Common Size FS'!G14</f>
        <v>7.3999999999999996E-2</v>
      </c>
      <c r="K199" s="110">
        <f>CHOOSE($C$6,K201,K202,K203)</f>
        <v>7.1999999999999995E-2</v>
      </c>
      <c r="L199" s="110">
        <f>CHOOSE($C$6,L201,L202,L203)</f>
        <v>7.1999999999999995E-2</v>
      </c>
    </row>
    <row r="201" spans="2:12">
      <c r="B201" s="96" t="str">
        <f>B193</f>
        <v>Base Case</v>
      </c>
      <c r="K201" s="109">
        <v>7.1999999999999995E-2</v>
      </c>
      <c r="L201" s="109">
        <v>7.1999999999999995E-2</v>
      </c>
    </row>
    <row r="202" spans="2:12">
      <c r="B202" s="96" t="str">
        <f>B194</f>
        <v>Bull Case</v>
      </c>
      <c r="C202" s="105" t="str">
        <f>"-0.5%"</f>
        <v>-0.5%</v>
      </c>
      <c r="K202" s="108">
        <f>K201+$C202</f>
        <v>6.699999999999999E-2</v>
      </c>
      <c r="L202" s="108">
        <f>L201+$C202</f>
        <v>6.699999999999999E-2</v>
      </c>
    </row>
    <row r="203" spans="2:12">
      <c r="B203" s="96" t="str">
        <f>B195</f>
        <v>Bear Case</v>
      </c>
      <c r="C203" s="105" t="str">
        <f>"+0.5%"</f>
        <v>+0.5%</v>
      </c>
      <c r="K203" s="108">
        <f>K201+$C203</f>
        <v>7.6999999999999999E-2</v>
      </c>
      <c r="L203" s="108">
        <f>L201+$C203</f>
        <v>7.6999999999999999E-2</v>
      </c>
    </row>
    <row r="204" spans="2:12" hidden="1">
      <c r="C204" s="105"/>
      <c r="K204" s="108"/>
      <c r="L204" s="108"/>
    </row>
    <row r="205" spans="2:12" hidden="1">
      <c r="B205" s="107" t="s">
        <v>266</v>
      </c>
      <c r="C205" s="105"/>
      <c r="K205" s="108"/>
      <c r="L205" s="108"/>
    </row>
    <row r="206" spans="2:12" hidden="1">
      <c r="B206" s="96" t="s">
        <v>267</v>
      </c>
      <c r="C206" s="105"/>
      <c r="K206" s="99"/>
      <c r="L206" s="99"/>
    </row>
    <row r="207" spans="2:12" hidden="1">
      <c r="B207" s="96" t="s">
        <v>268</v>
      </c>
      <c r="C207" s="105"/>
      <c r="K207" s="99"/>
      <c r="L207" s="99"/>
    </row>
    <row r="208" spans="2:12" hidden="1">
      <c r="B208" s="96" t="s">
        <v>269</v>
      </c>
      <c r="C208" s="105"/>
      <c r="K208" s="99"/>
      <c r="L208" s="99"/>
    </row>
    <row r="209" spans="2:12" hidden="1">
      <c r="B209" s="96" t="s">
        <v>45</v>
      </c>
      <c r="C209" s="105"/>
      <c r="F209" s="99"/>
      <c r="G209" s="99"/>
      <c r="H209" s="99"/>
      <c r="I209" s="99"/>
      <c r="J209" s="99"/>
      <c r="K209" s="99"/>
      <c r="L209" s="99"/>
    </row>
    <row r="210" spans="2:12">
      <c r="C210" s="105"/>
      <c r="K210" s="99"/>
      <c r="L210" s="99"/>
    </row>
    <row r="211" spans="2:12">
      <c r="B211" s="107" t="s">
        <v>22</v>
      </c>
    </row>
    <row r="212" spans="2:12">
      <c r="B212" s="96" t="s">
        <v>261</v>
      </c>
      <c r="F212" s="99">
        <f>'Consol. Historical FS'!C21</f>
        <v>1970.23</v>
      </c>
      <c r="G212" s="99">
        <f>'Consol. Historical FS'!D21</f>
        <v>2223.7199999999998</v>
      </c>
      <c r="H212" s="99">
        <f>'Consol. Historical FS'!E21</f>
        <v>1553.48</v>
      </c>
      <c r="I212" s="99">
        <f>'Consol. Historical FS'!F21</f>
        <v>1499.42</v>
      </c>
      <c r="J212" s="99">
        <f>'Consol. Historical FS'!G21</f>
        <v>1907.75</v>
      </c>
      <c r="K212" s="99">
        <f>ROUND(K11*K213,2)</f>
        <v>2268.1999999999998</v>
      </c>
      <c r="L212" s="99">
        <f>ROUND(L11*L213,2)</f>
        <v>2910.61</v>
      </c>
    </row>
    <row r="213" spans="2:12">
      <c r="B213" s="120" t="str">
        <f>"- as a % of revenue"</f>
        <v>- as a % of revenue</v>
      </c>
      <c r="F213" s="108">
        <f>'Consol. Common Size FS'!C19</f>
        <v>0.157</v>
      </c>
      <c r="G213" s="108">
        <f>'Consol. Common Size FS'!D19</f>
        <v>0.13</v>
      </c>
      <c r="H213" s="108">
        <f>'Consol. Common Size FS'!E19</f>
        <v>7.4999999999999997E-2</v>
      </c>
      <c r="I213" s="108">
        <f>'Consol. Common Size FS'!F19</f>
        <v>5.6000000000000001E-2</v>
      </c>
      <c r="J213" s="108">
        <f>'Consol. Common Size FS'!G19</f>
        <v>6.3E-2</v>
      </c>
      <c r="K213" s="110">
        <f>CHOOSE($C$6,K215,K216,K217)</f>
        <v>0.06</v>
      </c>
      <c r="L213" s="110">
        <f>CHOOSE($C$6,L215,L216,L217)</f>
        <v>6.2E-2</v>
      </c>
    </row>
    <row r="215" spans="2:12">
      <c r="B215" s="96" t="str">
        <f>B201</f>
        <v>Base Case</v>
      </c>
      <c r="K215" s="109">
        <v>0.06</v>
      </c>
      <c r="L215" s="109">
        <v>6.2E-2</v>
      </c>
    </row>
    <row r="216" spans="2:12">
      <c r="B216" s="96" t="str">
        <f>B202</f>
        <v>Bull Case</v>
      </c>
      <c r="C216" s="105" t="str">
        <f>"+0.3%"</f>
        <v>+0.3%</v>
      </c>
      <c r="K216" s="108">
        <f>K215+$C216</f>
        <v>6.3E-2</v>
      </c>
      <c r="L216" s="108">
        <f>L215+$C216</f>
        <v>6.5000000000000002E-2</v>
      </c>
    </row>
    <row r="217" spans="2:12">
      <c r="B217" s="96" t="str">
        <f>B203</f>
        <v>Bear Case</v>
      </c>
      <c r="C217" s="105" t="str">
        <f>"-0.3%"</f>
        <v>-0.3%</v>
      </c>
      <c r="K217" s="108">
        <f>K215+$C217</f>
        <v>5.6999999999999995E-2</v>
      </c>
      <c r="L217" s="108">
        <f>L215+$C217</f>
        <v>5.8999999999999997E-2</v>
      </c>
    </row>
    <row r="218" spans="2:12">
      <c r="C218" s="105"/>
      <c r="K218" s="108"/>
      <c r="L218" s="108"/>
    </row>
    <row r="219" spans="2:12">
      <c r="B219" s="107" t="s">
        <v>24</v>
      </c>
    </row>
    <row r="220" spans="2:12">
      <c r="B220" s="96" t="s">
        <v>261</v>
      </c>
      <c r="F220" s="99">
        <f>'Consol. Historical FS'!C23</f>
        <v>-14.27</v>
      </c>
      <c r="G220" s="99">
        <f>'Consol. Historical FS'!D23</f>
        <v>17.39</v>
      </c>
      <c r="H220" s="99">
        <f>'Consol. Historical FS'!E23</f>
        <v>47.78</v>
      </c>
      <c r="I220" s="99">
        <f>'Consol. Historical FS'!F23</f>
        <v>-161.69</v>
      </c>
      <c r="J220" s="99">
        <f>'Consol. Historical FS'!G23</f>
        <v>141.56</v>
      </c>
      <c r="K220" s="99">
        <f>ROUND(K11*K221,2)</f>
        <v>0</v>
      </c>
      <c r="L220" s="99">
        <f>ROUND(L11*L221,2)</f>
        <v>0</v>
      </c>
    </row>
    <row r="221" spans="2:12">
      <c r="B221" s="120" t="str">
        <f>"- as a % of revenue"</f>
        <v>- as a % of revenue</v>
      </c>
      <c r="F221" s="108">
        <f>'Consol. Common Size FS'!C21</f>
        <v>-1E-3</v>
      </c>
      <c r="G221" s="108">
        <f>'Consol. Common Size FS'!D21</f>
        <v>1E-3</v>
      </c>
      <c r="H221" s="108">
        <f>'Consol. Common Size FS'!E21</f>
        <v>2E-3</v>
      </c>
      <c r="I221" s="108">
        <f>'Consol. Common Size FS'!F21</f>
        <v>-6.0000000000000001E-3</v>
      </c>
      <c r="J221" s="108">
        <f>'Consol. Common Size FS'!G21</f>
        <v>5.0000000000000001E-3</v>
      </c>
      <c r="K221" s="110">
        <f>CHOOSE($C$6,K223,K224,K225)</f>
        <v>0</v>
      </c>
      <c r="L221" s="110">
        <f>CHOOSE($C$6,L223,L224,L225)</f>
        <v>0</v>
      </c>
    </row>
    <row r="223" spans="2:12">
      <c r="B223" s="96" t="str">
        <f>B215</f>
        <v>Base Case</v>
      </c>
      <c r="K223" s="109">
        <v>0</v>
      </c>
      <c r="L223" s="109">
        <v>0</v>
      </c>
    </row>
    <row r="224" spans="2:12">
      <c r="B224" s="96" t="str">
        <f>B216</f>
        <v>Bull Case</v>
      </c>
      <c r="C224" s="123" t="str">
        <f>"+0.0%"</f>
        <v>+0.0%</v>
      </c>
      <c r="K224" s="108">
        <f>K223+$C224</f>
        <v>0</v>
      </c>
      <c r="L224" s="108">
        <f>L223+$C224</f>
        <v>0</v>
      </c>
    </row>
    <row r="225" spans="2:12">
      <c r="B225" s="96" t="str">
        <f>B217</f>
        <v>Bear Case</v>
      </c>
      <c r="C225" s="123" t="str">
        <f>"-0.0%"</f>
        <v>-0.0%</v>
      </c>
      <c r="K225" s="108">
        <f>K223+$C225</f>
        <v>0</v>
      </c>
      <c r="L225" s="108">
        <f>L223+$C225</f>
        <v>0</v>
      </c>
    </row>
    <row r="227" spans="2:12">
      <c r="B227" s="107" t="s">
        <v>26</v>
      </c>
    </row>
    <row r="228" spans="2:12">
      <c r="B228" s="96" t="s">
        <v>261</v>
      </c>
      <c r="F228" s="99">
        <f>'Consol. Historical FS'!C25</f>
        <v>0</v>
      </c>
      <c r="G228" s="99">
        <f>'Consol. Historical FS'!D25</f>
        <v>-405.19</v>
      </c>
      <c r="H228" s="99">
        <f>'Consol. Historical FS'!E25</f>
        <v>-1273.3800000000001</v>
      </c>
      <c r="I228" s="99">
        <f>'Consol. Historical FS'!F25</f>
        <v>-373.7</v>
      </c>
      <c r="J228" s="99">
        <f>'Consol. Historical FS'!G25</f>
        <v>-249.46</v>
      </c>
      <c r="K228" s="99">
        <f>ROUND(K11*K229,2)</f>
        <v>-37.799999999999997</v>
      </c>
      <c r="L228" s="99">
        <f>ROUND(L11*L229,2)</f>
        <v>-46.95</v>
      </c>
    </row>
    <row r="229" spans="2:12">
      <c r="B229" s="120" t="str">
        <f>"- as a % of revenue"</f>
        <v>- as a % of revenue</v>
      </c>
      <c r="F229" s="108">
        <f>'[2]Consol. Common Size FS'!C25</f>
        <v>-7.0000000000000001E-3</v>
      </c>
      <c r="G229" s="108">
        <f>'[2]Consol. Common Size FS'!D25</f>
        <v>2E-3</v>
      </c>
      <c r="H229" s="108">
        <f>'[2]Consol. Common Size FS'!E25</f>
        <v>1E-3</v>
      </c>
      <c r="I229" s="108">
        <f>'[2]Consol. Common Size FS'!F25</f>
        <v>0</v>
      </c>
      <c r="J229" s="108">
        <f>'[2]Consol. Common Size FS'!G25</f>
        <v>-1E-3</v>
      </c>
      <c r="K229" s="110">
        <f>CHOOSE($C$6,K231,K232,K233)</f>
        <v>-1E-3</v>
      </c>
      <c r="L229" s="110">
        <f>CHOOSE($C$6,L231,L232,L233)</f>
        <v>-1E-3</v>
      </c>
    </row>
    <row r="231" spans="2:12">
      <c r="B231" s="96" t="str">
        <f>B223</f>
        <v>Base Case</v>
      </c>
      <c r="K231" s="109">
        <v>-1E-3</v>
      </c>
      <c r="L231" s="109">
        <v>-1E-3</v>
      </c>
    </row>
    <row r="232" spans="2:12">
      <c r="B232" s="96" t="str">
        <f>B224</f>
        <v>Bull Case</v>
      </c>
      <c r="C232" s="123" t="str">
        <f>"+0.1%"</f>
        <v>+0.1%</v>
      </c>
      <c r="K232" s="108">
        <f>K231+$C232</f>
        <v>0</v>
      </c>
      <c r="L232" s="108">
        <f>L231+$C232</f>
        <v>0</v>
      </c>
    </row>
    <row r="233" spans="2:12">
      <c r="B233" s="96" t="str">
        <f>B225</f>
        <v>Bear Case</v>
      </c>
      <c r="C233" s="123" t="str">
        <f>"-0.1%"</f>
        <v>-0.1%</v>
      </c>
      <c r="K233" s="108">
        <f>K231+$C233</f>
        <v>-2E-3</v>
      </c>
      <c r="L233" s="108">
        <f>L231+$C233</f>
        <v>-2E-3</v>
      </c>
    </row>
    <row r="235" spans="2:12">
      <c r="B235" s="107" t="s">
        <v>32</v>
      </c>
    </row>
    <row r="236" spans="2:12">
      <c r="B236" s="96" t="s">
        <v>261</v>
      </c>
      <c r="F236" s="99">
        <v>0</v>
      </c>
      <c r="G236" s="99">
        <v>0</v>
      </c>
      <c r="H236" s="99">
        <v>0</v>
      </c>
      <c r="I236" s="99">
        <v>0</v>
      </c>
      <c r="J236" s="99">
        <v>0</v>
      </c>
      <c r="K236" s="99">
        <f>ROUND(K11*K237,2)</f>
        <v>0</v>
      </c>
      <c r="L236" s="99">
        <f>ROUND(L11*L237,2)</f>
        <v>0</v>
      </c>
    </row>
    <row r="237" spans="2:12">
      <c r="B237" s="120" t="str">
        <f>"- as a % of revenue"</f>
        <v>- as a % of revenue</v>
      </c>
      <c r="F237" s="108">
        <f>'Consol. Common Size FS'!C29</f>
        <v>0</v>
      </c>
      <c r="G237" s="108">
        <f>'Consol. Common Size FS'!D29</f>
        <v>0</v>
      </c>
      <c r="H237" s="108">
        <f>'Consol. Common Size FS'!E29</f>
        <v>0</v>
      </c>
      <c r="I237" s="108">
        <f>'Consol. Common Size FS'!F29</f>
        <v>0</v>
      </c>
      <c r="J237" s="108">
        <f>'Consol. Common Size FS'!G29</f>
        <v>0</v>
      </c>
      <c r="K237" s="110">
        <f>CHOOSE($C$6,K239,K240,K241)</f>
        <v>0</v>
      </c>
      <c r="L237" s="110">
        <f>CHOOSE($C$6,L239,L240,L241)</f>
        <v>0</v>
      </c>
    </row>
    <row r="239" spans="2:12">
      <c r="B239" s="96" t="str">
        <f>B231</f>
        <v>Base Case</v>
      </c>
      <c r="K239" s="109">
        <v>0</v>
      </c>
      <c r="L239" s="109">
        <v>0</v>
      </c>
    </row>
    <row r="240" spans="2:12">
      <c r="B240" s="96" t="str">
        <f>B232</f>
        <v>Bull Case</v>
      </c>
      <c r="C240" s="123" t="str">
        <f>"+0.0%"</f>
        <v>+0.0%</v>
      </c>
      <c r="K240" s="108">
        <f>K239+$C240</f>
        <v>0</v>
      </c>
      <c r="L240" s="108">
        <f>L239+$C240</f>
        <v>0</v>
      </c>
    </row>
    <row r="241" spans="2:12">
      <c r="B241" s="96" t="str">
        <f>B233</f>
        <v>Bear Case</v>
      </c>
      <c r="C241" s="123" t="str">
        <f>"-0.0%"</f>
        <v>-0.0%</v>
      </c>
      <c r="K241" s="108">
        <f>K239+$C241</f>
        <v>0</v>
      </c>
      <c r="L241" s="108">
        <f>L239+$C241</f>
        <v>0</v>
      </c>
    </row>
    <row r="242" spans="2:12">
      <c r="F242" s="108"/>
      <c r="G242" s="108"/>
      <c r="H242" s="108"/>
      <c r="I242" s="108"/>
      <c r="J242" s="108"/>
      <c r="K242" s="110"/>
      <c r="L242" s="110"/>
    </row>
    <row r="243" spans="2:12">
      <c r="B243" s="107" t="s">
        <v>33</v>
      </c>
    </row>
    <row r="244" spans="2:12">
      <c r="B244" s="96" t="s">
        <v>261</v>
      </c>
      <c r="F244" s="99">
        <v>0</v>
      </c>
      <c r="G244" s="99">
        <v>0</v>
      </c>
      <c r="H244" s="99">
        <v>0</v>
      </c>
      <c r="I244" s="99">
        <v>0</v>
      </c>
      <c r="J244" s="99">
        <v>0</v>
      </c>
      <c r="K244" s="99">
        <f>ROUND(K11*K245,2)</f>
        <v>0</v>
      </c>
      <c r="L244" s="99">
        <f>ROUND(L11*L245,2)</f>
        <v>0</v>
      </c>
    </row>
    <row r="245" spans="2:12">
      <c r="B245" s="120" t="str">
        <f>"- as a % of revenue"</f>
        <v>- as a % of revenue</v>
      </c>
      <c r="F245" s="108">
        <f>'Consol. Historical FS'!C32</f>
        <v>0</v>
      </c>
      <c r="G245" s="108">
        <f>'Consol. Historical FS'!D32</f>
        <v>0</v>
      </c>
      <c r="H245" s="108">
        <f>'Consol. Historical FS'!E32</f>
        <v>0</v>
      </c>
      <c r="I245" s="108">
        <f>'Consol. Historical FS'!F32</f>
        <v>0</v>
      </c>
      <c r="J245" s="108">
        <f>'Consol. Historical FS'!G32</f>
        <v>0</v>
      </c>
      <c r="K245" s="110">
        <f>CHOOSE($C$6,K247,K248,K249)</f>
        <v>0</v>
      </c>
      <c r="L245" s="110">
        <f>CHOOSE($C$6,L247,L248,L249)</f>
        <v>0</v>
      </c>
    </row>
    <row r="247" spans="2:12">
      <c r="B247" s="96" t="str">
        <f>B239</f>
        <v>Base Case</v>
      </c>
      <c r="K247" s="109">
        <v>0</v>
      </c>
      <c r="L247" s="109">
        <v>0</v>
      </c>
    </row>
    <row r="248" spans="2:12">
      <c r="B248" s="96" t="str">
        <f>B240</f>
        <v>Bull Case</v>
      </c>
      <c r="C248" s="123" t="str">
        <f>"-0.0%"</f>
        <v>-0.0%</v>
      </c>
      <c r="K248" s="108">
        <f>K247+$C248</f>
        <v>0</v>
      </c>
      <c r="L248" s="108">
        <f>L247+$C248</f>
        <v>0</v>
      </c>
    </row>
    <row r="249" spans="2:12">
      <c r="B249" s="96" t="str">
        <f>B241</f>
        <v>Bear Case</v>
      </c>
      <c r="C249" s="123" t="str">
        <f>"+0.0%"</f>
        <v>+0.0%</v>
      </c>
      <c r="K249" s="108">
        <f>K247+$C249</f>
        <v>0</v>
      </c>
      <c r="L249" s="108">
        <f>L247+$C249</f>
        <v>0</v>
      </c>
    </row>
    <row r="251" spans="2:12">
      <c r="B251" s="107" t="s">
        <v>270</v>
      </c>
    </row>
    <row r="252" spans="2:12">
      <c r="B252" s="96" t="s">
        <v>271</v>
      </c>
      <c r="F252" s="108">
        <f>SUM('Consol. Historical FS'!C27:C29)/'Consol. Historical FS'!C26</f>
        <v>0.19759504514455636</v>
      </c>
      <c r="G252" s="108">
        <f>SUM('Consol. Historical FS'!D27:D29)/'Consol. Historical FS'!D26</f>
        <v>0.1336262536862837</v>
      </c>
      <c r="H252" s="108">
        <f>SUM('Consol. Historical FS'!E27:E29)/'Consol. Historical FS'!E26</f>
        <v>1.7558338024422814E-2</v>
      </c>
      <c r="I252" s="108">
        <f>SUM('Consol. Historical FS'!F27:F29)/'Consol. Historical FS'!F26</f>
        <v>0.19712633486332606</v>
      </c>
      <c r="J252" s="108">
        <f>SUM('Consol. Historical FS'!G27:G29)/'Consol. Historical FS'!G26</f>
        <v>0.15106810482577387</v>
      </c>
      <c r="K252" s="109">
        <v>0.16</v>
      </c>
      <c r="L252" s="109">
        <v>0.16</v>
      </c>
    </row>
    <row r="253" spans="2:12">
      <c r="F253" s="108"/>
      <c r="G253" s="108"/>
      <c r="H253" s="108"/>
      <c r="I253" s="108"/>
      <c r="J253" s="108"/>
      <c r="K253" s="109"/>
      <c r="L253" s="109"/>
    </row>
    <row r="254" spans="2:12">
      <c r="B254" s="107" t="s">
        <v>272</v>
      </c>
      <c r="F254" s="108"/>
      <c r="G254" s="108"/>
      <c r="H254" s="108"/>
      <c r="I254" s="108"/>
      <c r="J254" s="108"/>
      <c r="K254" s="162"/>
      <c r="L254" s="109"/>
    </row>
    <row r="255" spans="2:12">
      <c r="B255" s="96" t="s">
        <v>37</v>
      </c>
      <c r="F255" s="99">
        <f>'Consol. Historical FS'!C36</f>
        <v>4994.3</v>
      </c>
      <c r="G255" s="99">
        <f>'Consol. Historical FS'!D36</f>
        <v>4886.03</v>
      </c>
      <c r="H255" s="99">
        <f>'Consol. Historical FS'!E36</f>
        <v>5310.18</v>
      </c>
      <c r="I255" s="99">
        <f>'Consol. Historical FS'!F36</f>
        <v>8110.64</v>
      </c>
      <c r="J255" s="99">
        <f>'Consol. Historical FS'!G36</f>
        <v>11092.31</v>
      </c>
      <c r="K255" s="99"/>
      <c r="L255" s="99"/>
    </row>
    <row r="256" spans="2:12">
      <c r="B256" s="120" t="str">
        <f>"- as a % of net profit"</f>
        <v>- as a % of net profit</v>
      </c>
      <c r="F256" s="108">
        <f>F255/'Consol. Historical FS'!C34</f>
        <v>0.98921711159616066</v>
      </c>
      <c r="G256" s="108">
        <f>G255/'Consol. Historical FS'!D34</f>
        <v>0.9864430527459126</v>
      </c>
      <c r="H256" s="108">
        <f>H255/'Consol. Historical FS'!E34</f>
        <v>0.98468870242455153</v>
      </c>
      <c r="I256" s="108">
        <f>I255/'Consol. Historical FS'!F34</f>
        <v>1.0008205834409964</v>
      </c>
      <c r="J256" s="108">
        <f>J255/'Consol. Historical FS'!G34</f>
        <v>1.0028070943093281</v>
      </c>
      <c r="K256" s="108">
        <f>J256</f>
        <v>1.0028070943093281</v>
      </c>
      <c r="L256" s="108">
        <f>K256</f>
        <v>1.0028070943093281</v>
      </c>
    </row>
    <row r="257" spans="1:12">
      <c r="F257" s="108"/>
      <c r="G257" s="108"/>
      <c r="H257" s="108"/>
      <c r="I257" s="108"/>
      <c r="J257" s="108"/>
      <c r="K257" s="109"/>
      <c r="L257" s="109"/>
    </row>
    <row r="258" spans="1:12">
      <c r="B258" s="96" t="s">
        <v>38</v>
      </c>
      <c r="F258" s="99">
        <f>'Consol. Historical FS'!C37</f>
        <v>54.44</v>
      </c>
      <c r="G258" s="99">
        <f>'Consol. Historical FS'!D37</f>
        <v>67.150000000000006</v>
      </c>
      <c r="H258" s="99">
        <f>'Consol. Historical FS'!E37</f>
        <v>82.57</v>
      </c>
      <c r="I258" s="99">
        <f>'Consol. Historical FS'!F37</f>
        <v>-6.65</v>
      </c>
      <c r="J258" s="99">
        <f>'Consol. Historical FS'!G37</f>
        <v>-31.05</v>
      </c>
      <c r="K258" s="99"/>
      <c r="L258" s="99"/>
    </row>
    <row r="259" spans="1:12">
      <c r="B259" s="120" t="str">
        <f>"- as a % of net profit"</f>
        <v>- as a % of net profit</v>
      </c>
      <c r="F259" s="108">
        <f>'Consol. Historical FS'!C37/'Consol. Historical FS'!C34</f>
        <v>1.0782888403839374E-2</v>
      </c>
      <c r="G259" s="108">
        <f>'Consol. Historical FS'!D37/'Consol. Historical FS'!D34</f>
        <v>1.3556947254087274E-2</v>
      </c>
      <c r="H259" s="108">
        <f>'Consol. Historical FS'!E37/'Consol. Historical FS'!E34</f>
        <v>1.5311297575448517E-2</v>
      </c>
      <c r="I259" s="108">
        <f>'Consol. Historical FS'!F37/'Consol. Historical FS'!F34</f>
        <v>-8.2058344099634876E-4</v>
      </c>
      <c r="J259" s="108">
        <f>'Consol. Historical FS'!G37/'Consol. Historical FS'!G34</f>
        <v>-2.8070943093282319E-3</v>
      </c>
      <c r="K259" s="108">
        <f>J259</f>
        <v>-2.8070943093282319E-3</v>
      </c>
      <c r="L259" s="108">
        <f>K259</f>
        <v>-2.8070943093282319E-3</v>
      </c>
    </row>
    <row r="261" spans="1:12" ht="20.100000000000001">
      <c r="A261" s="147" t="s">
        <v>8</v>
      </c>
      <c r="B261" s="148" t="s">
        <v>273</v>
      </c>
      <c r="C261" s="149"/>
      <c r="D261" s="149"/>
      <c r="E261" s="149"/>
      <c r="F261" s="149"/>
      <c r="G261" s="149"/>
      <c r="H261" s="149"/>
      <c r="I261" s="149"/>
      <c r="J261" s="149"/>
      <c r="K261" s="149"/>
      <c r="L261" s="149"/>
    </row>
    <row r="263" spans="1:12">
      <c r="B263" s="96" t="s">
        <v>46</v>
      </c>
      <c r="F263" s="99">
        <f>'Consol. Historical FS'!C47</f>
        <v>4036.43</v>
      </c>
      <c r="G263" s="99">
        <f>'Consol. Historical FS'!D47</f>
        <v>6711.43</v>
      </c>
      <c r="H263" s="99">
        <f>'Consol. Historical FS'!E47</f>
        <v>6963.4</v>
      </c>
      <c r="I263" s="99">
        <f>'Consol. Historical FS'!F47</f>
        <v>6906.93</v>
      </c>
      <c r="J263" s="99">
        <f>'Consol. Historical FS'!G47</f>
        <v>7093.59</v>
      </c>
      <c r="K263" s="99">
        <f>J263</f>
        <v>7093.59</v>
      </c>
      <c r="L263" s="99">
        <f>K263</f>
        <v>7093.59</v>
      </c>
    </row>
    <row r="264" spans="1:12">
      <c r="B264" s="96" t="s">
        <v>48</v>
      </c>
      <c r="F264" s="99">
        <f>'Consol. Historical FS'!C49</f>
        <v>0</v>
      </c>
      <c r="G264" s="99">
        <f>'Consol. Historical FS'!D49</f>
        <v>0</v>
      </c>
      <c r="H264" s="99">
        <f>'Consol. Historical FS'!E49</f>
        <v>0</v>
      </c>
      <c r="I264" s="99">
        <f>'Consol. Historical FS'!F49</f>
        <v>0</v>
      </c>
      <c r="J264" s="99">
        <f>'Consol. Historical FS'!G49</f>
        <v>113.91</v>
      </c>
      <c r="K264" s="99">
        <f>J264</f>
        <v>113.91</v>
      </c>
      <c r="L264" s="99">
        <f>K264</f>
        <v>113.91</v>
      </c>
    </row>
    <row r="265" spans="1:12">
      <c r="B265" s="96" t="s">
        <v>274</v>
      </c>
      <c r="F265" s="99">
        <f>'Consol. Historical FS'!C50</f>
        <v>649.53</v>
      </c>
      <c r="G265" s="99">
        <f>'Consol. Historical FS'!D50</f>
        <v>1189.8499999999999</v>
      </c>
      <c r="H265" s="99">
        <f>'Consol. Historical FS'!E50</f>
        <v>2498.38</v>
      </c>
      <c r="I265" s="99">
        <f>'Consol. Historical FS'!F50</f>
        <v>2707.26</v>
      </c>
      <c r="J265" s="99">
        <f>'Consol. Historical FS'!G50</f>
        <v>3082.64</v>
      </c>
      <c r="K265" s="99">
        <f>J265</f>
        <v>3082.64</v>
      </c>
      <c r="L265" s="99">
        <f>K265</f>
        <v>3082.64</v>
      </c>
    </row>
    <row r="266" spans="1:12">
      <c r="B266" s="118" t="s">
        <v>275</v>
      </c>
      <c r="F266" s="99">
        <f>'Consol. Historical FS'!C52</f>
        <v>447.86</v>
      </c>
      <c r="G266" s="99">
        <f>'Consol. Historical FS'!D52</f>
        <v>1923.1</v>
      </c>
      <c r="H266" s="99">
        <f>'Consol. Historical FS'!E52</f>
        <v>1059.47</v>
      </c>
      <c r="I266" s="99">
        <f>'Consol. Historical FS'!F52</f>
        <v>919.61</v>
      </c>
      <c r="J266" s="99">
        <f>'Consol. Historical FS'!G52</f>
        <v>824.93</v>
      </c>
      <c r="K266" s="99">
        <f>J266</f>
        <v>824.93</v>
      </c>
      <c r="L266" s="99">
        <f>K266</f>
        <v>824.93</v>
      </c>
    </row>
    <row r="267" spans="1:12">
      <c r="B267" s="118" t="s">
        <v>276</v>
      </c>
      <c r="F267" s="99">
        <f>'Consol. Historical FS'!C53</f>
        <v>6086.5300000000007</v>
      </c>
      <c r="G267" s="99">
        <f>'Consol. Historical FS'!D53</f>
        <v>8251.4399999999987</v>
      </c>
      <c r="H267" s="99">
        <f>'Consol. Historical FS'!E53</f>
        <v>7709.6</v>
      </c>
      <c r="I267" s="99">
        <f>'Consol. Historical FS'!F53</f>
        <v>4750.7</v>
      </c>
      <c r="J267" s="99">
        <f>'Consol. Historical FS'!G53</f>
        <v>5685.33</v>
      </c>
      <c r="K267" s="99">
        <f>J267</f>
        <v>5685.33</v>
      </c>
      <c r="L267" s="99">
        <f>K267</f>
        <v>5685.33</v>
      </c>
    </row>
    <row r="268" spans="1:12">
      <c r="B268" s="96" t="s">
        <v>53</v>
      </c>
      <c r="F268" s="99">
        <f>'Consol. Historical FS'!C54</f>
        <v>881.73</v>
      </c>
      <c r="G268" s="99">
        <f>'Consol. Historical FS'!D54</f>
        <v>1357.83</v>
      </c>
      <c r="H268" s="99">
        <f>'Consol. Historical FS'!E54</f>
        <v>2199.9</v>
      </c>
      <c r="I268" s="99">
        <f>'Consol. Historical FS'!F54</f>
        <v>1918.67</v>
      </c>
      <c r="J268" s="99">
        <f>'Consol. Historical FS'!G54</f>
        <v>1889.58</v>
      </c>
      <c r="K268" s="99">
        <f>J268</f>
        <v>1889.58</v>
      </c>
      <c r="L268" s="99">
        <f>K268</f>
        <v>1889.58</v>
      </c>
    </row>
    <row r="269" spans="1:12">
      <c r="B269" s="96" t="s">
        <v>54</v>
      </c>
      <c r="F269" s="99">
        <f>'Consol. Historical FS'!C55</f>
        <v>0</v>
      </c>
      <c r="G269" s="99">
        <f>'Consol. Historical FS'!D55</f>
        <v>0</v>
      </c>
      <c r="H269" s="99">
        <f>'Consol. Historical FS'!E55</f>
        <v>0</v>
      </c>
      <c r="I269" s="99">
        <f>'Consol. Historical FS'!F55</f>
        <v>0</v>
      </c>
      <c r="J269" s="99">
        <f>'Consol. Historical FS'!G55</f>
        <v>0</v>
      </c>
      <c r="K269" s="99">
        <f>J269</f>
        <v>0</v>
      </c>
      <c r="L269" s="99">
        <f>K269</f>
        <v>0</v>
      </c>
    </row>
    <row r="270" spans="1:12">
      <c r="B270" s="96" t="s">
        <v>55</v>
      </c>
      <c r="F270" s="99">
        <f>'Consol. Historical FS'!C56</f>
        <v>2593.44</v>
      </c>
      <c r="G270" s="99">
        <f>'Consol. Historical FS'!D56</f>
        <v>2299.36</v>
      </c>
      <c r="H270" s="99">
        <f>'Consol. Historical FS'!E56</f>
        <v>4338.04</v>
      </c>
      <c r="I270" s="99">
        <f>'Consol. Historical FS'!F56</f>
        <v>5065.37</v>
      </c>
      <c r="J270" s="99">
        <f>'Consol. Historical FS'!G56</f>
        <v>3583.21</v>
      </c>
      <c r="K270" s="99">
        <f>J270</f>
        <v>3583.21</v>
      </c>
      <c r="L270" s="99">
        <f>K270</f>
        <v>3583.21</v>
      </c>
    </row>
    <row r="271" spans="1:12">
      <c r="B271" s="96" t="s">
        <v>68</v>
      </c>
      <c r="F271" s="99">
        <f>'Consol. Historical FS'!C72</f>
        <v>354.86</v>
      </c>
      <c r="G271" s="99">
        <f>'Consol. Historical FS'!D72</f>
        <v>1898.48</v>
      </c>
      <c r="H271" s="99">
        <f>'Consol. Historical FS'!E72</f>
        <v>1941.26</v>
      </c>
      <c r="I271" s="99">
        <f>'Consol. Historical FS'!F72</f>
        <v>186.75</v>
      </c>
      <c r="J271" s="99">
        <f>'Consol. Historical FS'!G72</f>
        <v>186.75</v>
      </c>
      <c r="K271" s="99">
        <f>J271</f>
        <v>186.75</v>
      </c>
      <c r="L271" s="99">
        <f>K271</f>
        <v>186.75</v>
      </c>
    </row>
    <row r="272" spans="1:12">
      <c r="F272" s="99"/>
      <c r="G272" s="99"/>
      <c r="H272" s="99"/>
      <c r="I272" s="99"/>
      <c r="J272" s="99"/>
      <c r="K272" s="99"/>
      <c r="L272" s="99"/>
    </row>
    <row r="273" spans="1:12" ht="20.100000000000001">
      <c r="A273" s="147" t="s">
        <v>8</v>
      </c>
      <c r="B273" s="148" t="s">
        <v>277</v>
      </c>
      <c r="C273" s="149"/>
      <c r="D273" s="149"/>
      <c r="E273" s="149"/>
      <c r="F273" s="149"/>
      <c r="G273" s="149"/>
      <c r="H273" s="149"/>
      <c r="I273" s="149"/>
      <c r="J273" s="149"/>
      <c r="K273" s="149"/>
      <c r="L273" s="149"/>
    </row>
    <row r="274" spans="1:12">
      <c r="F274" s="99"/>
      <c r="G274" s="99"/>
      <c r="H274" s="99"/>
      <c r="I274" s="99"/>
      <c r="J274" s="99"/>
      <c r="K274" s="99"/>
      <c r="L274" s="99"/>
    </row>
    <row r="275" spans="1:12">
      <c r="B275" s="118" t="s">
        <v>236</v>
      </c>
      <c r="F275" s="99">
        <f>'Consol. Historical FS'!C62</f>
        <v>1138.76</v>
      </c>
      <c r="G275" s="99">
        <f>'Consol. Historical FS'!D62</f>
        <v>47.79</v>
      </c>
      <c r="H275" s="99">
        <f>'Consol. Historical FS'!E62</f>
        <v>4028.69</v>
      </c>
      <c r="I275" s="99">
        <f>'Consol. Historical FS'!F62</f>
        <v>661.79</v>
      </c>
      <c r="J275" s="99">
        <f>'Consol. Historical FS'!G62</f>
        <v>751.88</v>
      </c>
      <c r="K275" s="99">
        <f>J275+500</f>
        <v>1251.8800000000001</v>
      </c>
      <c r="L275" s="99">
        <f>K275+500</f>
        <v>1751.88</v>
      </c>
    </row>
    <row r="276" spans="1:12">
      <c r="B276" s="118" t="s">
        <v>278</v>
      </c>
      <c r="F276" s="99">
        <f>'Consol. Historical FS'!C66</f>
        <v>1082.81</v>
      </c>
      <c r="G276" s="99">
        <f>'Consol. Historical FS'!D66</f>
        <v>1302.42</v>
      </c>
      <c r="H276" s="99">
        <f>'Consol. Historical FS'!E66</f>
        <v>408.09999999999997</v>
      </c>
      <c r="I276" s="99">
        <f>'Consol. Historical FS'!F66</f>
        <v>269.01</v>
      </c>
      <c r="J276" s="99">
        <f>'Consol. Historical FS'!G66</f>
        <v>173.17</v>
      </c>
      <c r="K276" s="99">
        <f>J276</f>
        <v>173.17</v>
      </c>
      <c r="L276" s="99">
        <f>K276</f>
        <v>173.17</v>
      </c>
    </row>
    <row r="277" spans="1:12">
      <c r="B277" s="118" t="s">
        <v>279</v>
      </c>
      <c r="F277" s="99">
        <f>'Consol. Historical FS'!C67</f>
        <v>0</v>
      </c>
      <c r="G277" s="99">
        <f>'Consol. Historical FS'!D67</f>
        <v>0</v>
      </c>
      <c r="H277" s="99">
        <f>'Consol. Historical FS'!E67</f>
        <v>0</v>
      </c>
      <c r="I277" s="99">
        <f>'Consol. Historical FS'!F67</f>
        <v>0</v>
      </c>
      <c r="J277" s="99">
        <f>'Consol. Historical FS'!G67</f>
        <v>0</v>
      </c>
      <c r="K277" s="99">
        <f>J277</f>
        <v>0</v>
      </c>
      <c r="L277" s="99">
        <f>K277</f>
        <v>0</v>
      </c>
    </row>
    <row r="278" spans="1:12">
      <c r="B278" s="118" t="s">
        <v>276</v>
      </c>
      <c r="F278" s="99">
        <f>'Consol. Historical FS'!C68</f>
        <v>1162.48</v>
      </c>
      <c r="G278" s="99">
        <f>'Consol. Historical FS'!D68</f>
        <v>824.69</v>
      </c>
      <c r="H278" s="99">
        <f>'Consol. Historical FS'!E68</f>
        <v>1962.9699999999998</v>
      </c>
      <c r="I278" s="99">
        <f>'Consol. Historical FS'!F68</f>
        <v>3441.08</v>
      </c>
      <c r="J278" s="99">
        <f>'Consol. Historical FS'!G68</f>
        <v>4471.8</v>
      </c>
      <c r="K278" s="99">
        <f>J278</f>
        <v>4471.8</v>
      </c>
      <c r="L278" s="99">
        <f>K278</f>
        <v>4471.8</v>
      </c>
    </row>
    <row r="279" spans="1:12">
      <c r="B279" s="96" t="s">
        <v>66</v>
      </c>
      <c r="F279" s="99">
        <f>'Consol. Historical FS'!C69</f>
        <v>1013.2</v>
      </c>
      <c r="G279" s="99">
        <f>'Consol. Historical FS'!D69</f>
        <v>730.09</v>
      </c>
      <c r="H279" s="99">
        <f>'Consol. Historical FS'!E69</f>
        <v>1164.08</v>
      </c>
      <c r="I279" s="99">
        <f>'Consol. Historical FS'!F69</f>
        <v>1177.4000000000001</v>
      </c>
      <c r="J279" s="99">
        <f>'Consol. Historical FS'!G69</f>
        <v>1800.39</v>
      </c>
      <c r="K279" s="99">
        <f>J279</f>
        <v>1800.39</v>
      </c>
      <c r="L279" s="99">
        <f>K279</f>
        <v>1800.39</v>
      </c>
    </row>
    <row r="280" spans="1:12">
      <c r="B280" s="96" t="s">
        <v>179</v>
      </c>
      <c r="F280" s="99">
        <v>0</v>
      </c>
      <c r="G280" s="99">
        <v>0</v>
      </c>
      <c r="H280" s="99">
        <v>0</v>
      </c>
      <c r="I280" s="99">
        <v>0</v>
      </c>
      <c r="J280" s="99">
        <v>0</v>
      </c>
      <c r="K280" s="99">
        <f>J280</f>
        <v>0</v>
      </c>
      <c r="L280" s="99">
        <f>K280</f>
        <v>0</v>
      </c>
    </row>
    <row r="281" spans="1:12">
      <c r="F281" s="99"/>
      <c r="G281" s="99"/>
      <c r="H281" s="99"/>
      <c r="I281" s="99"/>
      <c r="J281" s="99"/>
      <c r="K281" s="99"/>
      <c r="L281" s="99"/>
    </row>
    <row r="282" spans="1:12" ht="20.100000000000001">
      <c r="A282" s="147" t="s">
        <v>8</v>
      </c>
      <c r="B282" s="148" t="s">
        <v>280</v>
      </c>
      <c r="C282" s="149"/>
      <c r="D282" s="149"/>
      <c r="E282" s="149"/>
      <c r="F282" s="149"/>
      <c r="G282" s="149"/>
      <c r="H282" s="149"/>
      <c r="I282" s="149"/>
      <c r="J282" s="149"/>
      <c r="K282" s="149"/>
      <c r="L282" s="149"/>
    </row>
    <row r="283" spans="1:12">
      <c r="F283" s="99"/>
      <c r="G283" s="99"/>
      <c r="H283" s="99"/>
      <c r="I283" s="99"/>
      <c r="J283" s="99"/>
      <c r="K283" s="99"/>
      <c r="L283" s="99"/>
    </row>
    <row r="284" spans="1:12">
      <c r="B284" s="118" t="s">
        <v>242</v>
      </c>
      <c r="F284" s="99">
        <f>'Consol. Historical FS'!C104</f>
        <v>2261</v>
      </c>
      <c r="G284" s="99">
        <f>'Consol. Historical FS'!D104</f>
        <v>1654.87</v>
      </c>
      <c r="H284" s="99">
        <f>'Consol. Historical FS'!E104</f>
        <v>1814.19</v>
      </c>
      <c r="I284" s="99">
        <f>'Consol. Historical FS'!F104</f>
        <v>1832.45</v>
      </c>
      <c r="J284" s="99">
        <f>'Consol. Historical FS'!G104</f>
        <v>2242.6799999999998</v>
      </c>
      <c r="K284" s="99">
        <f>J284</f>
        <v>2242.6799999999998</v>
      </c>
      <c r="L284" s="99">
        <f>K284</f>
        <v>2242.6799999999998</v>
      </c>
    </row>
    <row r="285" spans="1:12">
      <c r="B285" s="118" t="s">
        <v>279</v>
      </c>
      <c r="F285" s="99">
        <f>'Consol. Historical FS'!C88</f>
        <v>0</v>
      </c>
      <c r="G285" s="99">
        <f>'Consol. Historical FS'!D88</f>
        <v>0</v>
      </c>
      <c r="H285" s="99">
        <f>'Consol. Historical FS'!E88</f>
        <v>0</v>
      </c>
      <c r="I285" s="99">
        <f>'Consol. Historical FS'!F88</f>
        <v>0</v>
      </c>
      <c r="J285" s="99">
        <f>'Consol. Historical FS'!G88</f>
        <v>0</v>
      </c>
      <c r="K285" s="99">
        <f>J285</f>
        <v>0</v>
      </c>
      <c r="L285" s="99">
        <f>K285</f>
        <v>0</v>
      </c>
    </row>
    <row r="286" spans="1:12">
      <c r="B286" s="118" t="s">
        <v>83</v>
      </c>
      <c r="F286" s="99">
        <f>'Consol. Historical FS'!C89</f>
        <v>1065.79</v>
      </c>
      <c r="G286" s="99">
        <f>'Consol. Historical FS'!D89</f>
        <v>988.21</v>
      </c>
      <c r="H286" s="99">
        <f>'Consol. Historical FS'!E89</f>
        <v>1148.8399999999999</v>
      </c>
      <c r="I286" s="99">
        <f>'Consol. Historical FS'!F89</f>
        <v>1664.99</v>
      </c>
      <c r="J286" s="99">
        <f>'Consol. Historical FS'!G89</f>
        <v>2142.54</v>
      </c>
      <c r="K286" s="99">
        <f>J286</f>
        <v>2142.54</v>
      </c>
      <c r="L286" s="99">
        <f>K286</f>
        <v>2142.54</v>
      </c>
    </row>
    <row r="287" spans="1:12">
      <c r="B287" s="118" t="s">
        <v>84</v>
      </c>
      <c r="F287" s="99">
        <f>'Consol. Historical FS'!C90</f>
        <v>26.68</v>
      </c>
      <c r="G287" s="99">
        <f>'Consol. Historical FS'!D90</f>
        <v>34.229999999999997</v>
      </c>
      <c r="H287" s="99">
        <f>'Consol. Historical FS'!E90</f>
        <v>1201.75</v>
      </c>
      <c r="I287" s="99">
        <f>'Consol. Historical FS'!F90</f>
        <v>1100.75</v>
      </c>
      <c r="J287" s="99">
        <f>'Consol. Historical FS'!G90</f>
        <v>1149.3599999999999</v>
      </c>
      <c r="K287" s="99">
        <f>J287</f>
        <v>1149.3599999999999</v>
      </c>
      <c r="L287" s="99">
        <f>K287</f>
        <v>1149.3599999999999</v>
      </c>
    </row>
    <row r="288" spans="1:12">
      <c r="B288" s="118" t="s">
        <v>85</v>
      </c>
      <c r="F288" s="99">
        <f>'Consol. Historical FS'!C91</f>
        <v>0</v>
      </c>
      <c r="G288" s="99">
        <f>'Consol. Historical FS'!D91</f>
        <v>0</v>
      </c>
      <c r="H288" s="99">
        <f>'Consol. Historical FS'!E91</f>
        <v>0</v>
      </c>
      <c r="I288" s="99">
        <f>'Consol. Historical FS'!F91</f>
        <v>0</v>
      </c>
      <c r="J288" s="99">
        <f>'Consol. Historical FS'!G91</f>
        <v>0</v>
      </c>
      <c r="K288" s="99">
        <f>J288</f>
        <v>0</v>
      </c>
      <c r="L288" s="99">
        <f>K288</f>
        <v>0</v>
      </c>
    </row>
    <row r="289" spans="1:12">
      <c r="B289" s="96" t="s">
        <v>86</v>
      </c>
      <c r="F289" s="99">
        <f>'Consol. Historical FS'!C92</f>
        <v>1203.1600000000001</v>
      </c>
      <c r="G289" s="99">
        <f>'Consol. Historical FS'!D92</f>
        <v>3010.86</v>
      </c>
      <c r="H289" s="99">
        <f>'Consol. Historical FS'!E92</f>
        <v>3186.37</v>
      </c>
      <c r="I289" s="99">
        <f>'Consol. Historical FS'!F92</f>
        <v>4169.87</v>
      </c>
      <c r="J289" s="99">
        <f>'Consol. Historical FS'!G92</f>
        <v>4653.26</v>
      </c>
      <c r="K289" s="99">
        <f>J289</f>
        <v>4653.26</v>
      </c>
      <c r="L289" s="99">
        <f>K289</f>
        <v>4653.26</v>
      </c>
    </row>
    <row r="290" spans="1:12">
      <c r="F290" s="99"/>
      <c r="G290" s="99"/>
      <c r="H290" s="99"/>
      <c r="I290" s="99"/>
      <c r="J290" s="99"/>
      <c r="K290" s="99"/>
      <c r="L290" s="99"/>
    </row>
    <row r="291" spans="1:12" ht="20.100000000000001">
      <c r="A291" s="147" t="s">
        <v>8</v>
      </c>
      <c r="B291" s="148" t="s">
        <v>281</v>
      </c>
      <c r="C291" s="149"/>
      <c r="D291" s="149"/>
      <c r="E291" s="149"/>
      <c r="F291" s="149"/>
      <c r="G291" s="149"/>
      <c r="H291" s="149"/>
      <c r="I291" s="149"/>
      <c r="J291" s="149"/>
      <c r="K291" s="149"/>
      <c r="L291" s="149"/>
    </row>
    <row r="292" spans="1:12">
      <c r="F292" s="99"/>
      <c r="G292" s="99"/>
      <c r="H292" s="99"/>
      <c r="I292" s="99"/>
      <c r="J292" s="99"/>
      <c r="K292" s="99"/>
      <c r="L292" s="99"/>
    </row>
    <row r="293" spans="1:12">
      <c r="B293" s="118" t="s">
        <v>242</v>
      </c>
      <c r="F293" s="99">
        <f>'Consol. Historical FS'!C102</f>
        <v>3260.08</v>
      </c>
      <c r="G293" s="99">
        <f>'Consol. Historical FS'!D102</f>
        <v>2253.75</v>
      </c>
      <c r="H293" s="99">
        <f>'Consol. Historical FS'!E102</f>
        <v>3319.88</v>
      </c>
      <c r="I293" s="99">
        <f>'Consol. Historical FS'!F102</f>
        <v>3756.8</v>
      </c>
      <c r="J293" s="99">
        <f>'Consol. Historical FS'!G102</f>
        <v>5359.74</v>
      </c>
      <c r="K293" s="99">
        <f>J293</f>
        <v>5359.74</v>
      </c>
      <c r="L293" s="99">
        <f>K293</f>
        <v>5359.74</v>
      </c>
    </row>
    <row r="294" spans="1:12">
      <c r="B294" s="118" t="s">
        <v>279</v>
      </c>
      <c r="F294" s="99">
        <f>'Consol. Historical FS'!C103</f>
        <v>0</v>
      </c>
      <c r="G294" s="99">
        <f>'Consol. Historical FS'!D103</f>
        <v>0</v>
      </c>
      <c r="H294" s="99">
        <f>'Consol. Historical FS'!E103</f>
        <v>0</v>
      </c>
      <c r="I294" s="99">
        <f>'Consol. Historical FS'!F103</f>
        <v>0</v>
      </c>
      <c r="J294" s="99">
        <f>'Consol. Historical FS'!G103</f>
        <v>0</v>
      </c>
      <c r="K294" s="99">
        <f>J294</f>
        <v>0</v>
      </c>
      <c r="L294" s="99">
        <f>K294</f>
        <v>0</v>
      </c>
    </row>
    <row r="295" spans="1:12">
      <c r="B295" s="118" t="s">
        <v>95</v>
      </c>
      <c r="F295" s="99">
        <f>'Consol. Historical FS'!C104</f>
        <v>2261</v>
      </c>
      <c r="G295" s="99">
        <f>'Consol. Historical FS'!D104</f>
        <v>1654.87</v>
      </c>
      <c r="H295" s="99">
        <f>'Consol. Historical FS'!E104</f>
        <v>1814.19</v>
      </c>
      <c r="I295" s="99">
        <f>'Consol. Historical FS'!F104</f>
        <v>1832.45</v>
      </c>
      <c r="J295" s="99">
        <f>'Consol. Historical FS'!G104</f>
        <v>2242.6799999999998</v>
      </c>
      <c r="K295" s="99">
        <f>J295</f>
        <v>2242.6799999999998</v>
      </c>
      <c r="L295" s="99">
        <f>K295</f>
        <v>2242.6799999999998</v>
      </c>
    </row>
    <row r="296" spans="1:12">
      <c r="B296" s="118" t="s">
        <v>84</v>
      </c>
      <c r="F296" s="99">
        <f>'Consol. Historical FS'!C105</f>
        <v>95.73</v>
      </c>
      <c r="G296" s="99">
        <f>'Consol. Historical FS'!D105</f>
        <v>107.52</v>
      </c>
      <c r="H296" s="99">
        <f>'Consol. Historical FS'!E105</f>
        <v>548.03</v>
      </c>
      <c r="I296" s="99">
        <f>'Consol. Historical FS'!F105</f>
        <v>193.44</v>
      </c>
      <c r="J296" s="99">
        <f>'Consol. Historical FS'!G105</f>
        <v>236.77</v>
      </c>
      <c r="K296" s="99">
        <f>J296</f>
        <v>236.77</v>
      </c>
      <c r="L296" s="99">
        <f>K296</f>
        <v>236.77</v>
      </c>
    </row>
    <row r="297" spans="1:12">
      <c r="B297" s="118" t="s">
        <v>85</v>
      </c>
      <c r="F297" s="99">
        <f>'Consol. Historical FS'!C106</f>
        <v>0</v>
      </c>
      <c r="G297" s="99">
        <f>'Consol. Historical FS'!D106</f>
        <v>0</v>
      </c>
      <c r="H297" s="99">
        <f>'Consol. Historical FS'!E106</f>
        <v>0</v>
      </c>
      <c r="I297" s="99">
        <f>'Consol. Historical FS'!F106</f>
        <v>0</v>
      </c>
      <c r="J297" s="99">
        <f>'Consol. Historical FS'!G106</f>
        <v>0</v>
      </c>
      <c r="K297" s="99">
        <f>J297</f>
        <v>0</v>
      </c>
      <c r="L297" s="99">
        <f>K297</f>
        <v>0</v>
      </c>
    </row>
    <row r="298" spans="1:12">
      <c r="B298" s="96" t="s">
        <v>96</v>
      </c>
      <c r="F298" s="99">
        <f>'Consol. Historical FS'!C107</f>
        <v>38.49</v>
      </c>
      <c r="G298" s="99">
        <f>'Consol. Historical FS'!D107</f>
        <v>93.92</v>
      </c>
      <c r="H298" s="99">
        <f>'Consol. Historical FS'!E107</f>
        <v>528.42999999999995</v>
      </c>
      <c r="I298" s="99">
        <f>'Consol. Historical FS'!F107</f>
        <v>33.1</v>
      </c>
      <c r="J298" s="99">
        <f>'Consol. Historical FS'!G107</f>
        <v>144.84</v>
      </c>
      <c r="K298" s="99">
        <f>J298</f>
        <v>144.84</v>
      </c>
      <c r="L298" s="99">
        <f>K298</f>
        <v>144.84</v>
      </c>
    </row>
    <row r="299" spans="1:12">
      <c r="B299" s="96" t="s">
        <v>68</v>
      </c>
      <c r="F299" s="99">
        <f>'Consol. Historical FS'!C109</f>
        <v>114.54</v>
      </c>
      <c r="G299" s="99">
        <f>'Consol. Historical FS'!D109</f>
        <v>305.36</v>
      </c>
      <c r="H299" s="99">
        <f>'Consol. Historical FS'!E109</f>
        <v>1521.46</v>
      </c>
      <c r="I299" s="99">
        <f>'Consol. Historical FS'!F109</f>
        <v>47.55</v>
      </c>
      <c r="J299" s="99">
        <f>'Consol. Historical FS'!G109</f>
        <v>47.55</v>
      </c>
      <c r="K299" s="99">
        <f>J299</f>
        <v>47.55</v>
      </c>
      <c r="L299" s="99">
        <f>K299</f>
        <v>47.55</v>
      </c>
    </row>
    <row r="300" spans="1:12">
      <c r="C300" s="96" t="s">
        <v>282</v>
      </c>
      <c r="F300" s="99"/>
      <c r="G300" s="99"/>
      <c r="H300" s="99"/>
      <c r="I300" s="99"/>
      <c r="J300" s="99"/>
      <c r="K300" s="99"/>
      <c r="L300" s="99"/>
    </row>
    <row r="301" spans="1:12" ht="20.100000000000001">
      <c r="A301" s="147" t="s">
        <v>8</v>
      </c>
      <c r="B301" s="148" t="s">
        <v>283</v>
      </c>
      <c r="C301" s="149"/>
      <c r="D301" s="149"/>
      <c r="E301" s="149"/>
      <c r="F301" s="149"/>
      <c r="G301" s="149"/>
      <c r="H301" s="149"/>
      <c r="I301" s="149"/>
      <c r="J301" s="149"/>
      <c r="K301" s="149"/>
      <c r="L301" s="149"/>
    </row>
    <row r="303" spans="1:12">
      <c r="B303" s="98" t="s">
        <v>227</v>
      </c>
      <c r="C303" s="98"/>
      <c r="D303" s="98"/>
      <c r="E303" s="98"/>
      <c r="F303" s="98"/>
      <c r="G303" s="97">
        <f>ROUND(G305+G311-G318-G324,0)</f>
        <v>19</v>
      </c>
      <c r="H303" s="97">
        <f>ROUND(H305+H311-H318-H324,0)</f>
        <v>-22</v>
      </c>
      <c r="I303" s="97">
        <f>ROUND(I305+I311-I318-I324,0)</f>
        <v>-25</v>
      </c>
      <c r="J303" s="97">
        <f>ROUND(J305+J311-J318-J324,0)</f>
        <v>-34</v>
      </c>
      <c r="K303" s="97">
        <f>ROUND(K305+K311-K318-K324,0)</f>
        <v>-30</v>
      </c>
      <c r="L303" s="97">
        <f>ROUND(L305+L311-L318-L324,0)</f>
        <v>-34</v>
      </c>
    </row>
    <row r="304" spans="1:12">
      <c r="B304" s="98"/>
      <c r="C304" s="98"/>
      <c r="D304" s="98"/>
      <c r="E304" s="98"/>
      <c r="F304" s="98"/>
      <c r="G304" s="97"/>
      <c r="H304" s="97"/>
      <c r="I304" s="97"/>
      <c r="J304" s="97"/>
      <c r="K304" s="97"/>
      <c r="L304" s="97"/>
    </row>
    <row r="305" spans="2:12">
      <c r="B305" s="122" t="s">
        <v>229</v>
      </c>
      <c r="G305" s="96">
        <f>ROUND((AVERAGE('Consol. Historical FS'!C60:D60)/SUM('Consol. Historical FS'!D10:D12))*365,0)</f>
        <v>52</v>
      </c>
      <c r="H305" s="96">
        <f>ROUND((AVERAGE('Consol. Historical FS'!D60:E60)/SUM('Consol. Historical FS'!E10:E12))*365,0)</f>
        <v>27</v>
      </c>
      <c r="I305" s="96">
        <f>ROUND((AVERAGE('Consol. Historical FS'!E60:F60)/SUM('Consol. Historical FS'!F10:F12))*365,0)</f>
        <v>23</v>
      </c>
      <c r="J305" s="96">
        <f>ROUND((AVERAGE('Consol. Historical FS'!F60:G60)/SUM('Consol. Historical FS'!G10:G12))*365,0)</f>
        <v>22</v>
      </c>
      <c r="K305" s="119">
        <f>CHOOSE($C$6,K307,K308,K309)</f>
        <v>23</v>
      </c>
      <c r="L305" s="119">
        <f>CHOOSE($C$6,L307,L308,L309)</f>
        <v>23</v>
      </c>
    </row>
    <row r="306" spans="2:12">
      <c r="B306" s="115"/>
      <c r="K306" s="111"/>
      <c r="L306" s="111"/>
    </row>
    <row r="307" spans="2:12">
      <c r="B307" s="96" t="str">
        <f>B247</f>
        <v>Base Case</v>
      </c>
      <c r="K307" s="111">
        <v>23</v>
      </c>
      <c r="L307" s="111">
        <v>23</v>
      </c>
    </row>
    <row r="308" spans="2:12">
      <c r="B308" s="96" t="str">
        <f>B248</f>
        <v>Bull Case</v>
      </c>
      <c r="C308" s="117" t="str">
        <f>"-2"</f>
        <v>-2</v>
      </c>
      <c r="K308" s="99">
        <f>K307+$C308</f>
        <v>21</v>
      </c>
      <c r="L308" s="99">
        <f>L307+$C308</f>
        <v>21</v>
      </c>
    </row>
    <row r="309" spans="2:12">
      <c r="B309" s="96" t="str">
        <f>B249</f>
        <v>Bear Case</v>
      </c>
      <c r="C309" s="117" t="str">
        <f>"+2"</f>
        <v>+2</v>
      </c>
      <c r="K309" s="99">
        <f>K307+$C309</f>
        <v>25</v>
      </c>
      <c r="L309" s="99">
        <f>L307+$C309</f>
        <v>25</v>
      </c>
    </row>
    <row r="310" spans="2:12">
      <c r="B310" s="115"/>
      <c r="K310" s="111"/>
      <c r="L310" s="111"/>
    </row>
    <row r="311" spans="2:12">
      <c r="B311" s="122" t="s">
        <v>284</v>
      </c>
      <c r="G311" s="96">
        <f>ROUND((AVERAGE('Consol. Historical FS'!C63:D63)/'Consol. Historical FS'!D9)*365,0)</f>
        <v>49</v>
      </c>
      <c r="H311" s="96">
        <f>ROUND((AVERAGE('Consol. Historical FS'!D63:E63)/'Consol. Historical FS'!E9)*365,0)</f>
        <v>48</v>
      </c>
      <c r="I311" s="96">
        <f>ROUND((AVERAGE('Consol. Historical FS'!E63:F63)/'Consol. Historical FS'!F9)*365,0)</f>
        <v>47</v>
      </c>
      <c r="J311" s="96">
        <f>ROUND((AVERAGE('Consol. Historical FS'!F63:G63)/'Consol. Historical FS'!G9)*365,0)</f>
        <v>49</v>
      </c>
      <c r="K311" s="119">
        <f>CHOOSE($C$6,K313,K314,K315)</f>
        <v>48</v>
      </c>
      <c r="L311" s="119">
        <f>CHOOSE($C$6,L313,L314,L315)</f>
        <v>47</v>
      </c>
    </row>
    <row r="312" spans="2:12">
      <c r="B312" s="115"/>
      <c r="K312" s="111"/>
      <c r="L312" s="111"/>
    </row>
    <row r="313" spans="2:12">
      <c r="B313" s="118" t="str">
        <f>B307</f>
        <v>Base Case</v>
      </c>
      <c r="K313" s="111">
        <v>48</v>
      </c>
      <c r="L313" s="111">
        <v>47</v>
      </c>
    </row>
    <row r="314" spans="2:12">
      <c r="B314" s="118" t="str">
        <f>B308</f>
        <v>Bull Case</v>
      </c>
      <c r="C314" s="117" t="str">
        <f>"-2"</f>
        <v>-2</v>
      </c>
      <c r="K314" s="99">
        <f>K313+$C314</f>
        <v>46</v>
      </c>
      <c r="L314" s="99">
        <f>L313+$C314</f>
        <v>45</v>
      </c>
    </row>
    <row r="315" spans="2:12">
      <c r="B315" s="118" t="str">
        <f>B309</f>
        <v>Bear Case</v>
      </c>
      <c r="C315" s="117" t="str">
        <f>"+2"</f>
        <v>+2</v>
      </c>
      <c r="K315" s="99">
        <f>K313+$C315</f>
        <v>50</v>
      </c>
      <c r="L315" s="99">
        <f>L313+$C315</f>
        <v>49</v>
      </c>
    </row>
    <row r="316" spans="2:12">
      <c r="B316" s="115"/>
      <c r="K316" s="111"/>
      <c r="L316" s="111"/>
    </row>
    <row r="317" spans="2:12">
      <c r="B317" s="122" t="s">
        <v>230</v>
      </c>
      <c r="K317" s="111"/>
      <c r="L317" s="111"/>
    </row>
    <row r="318" spans="2:12">
      <c r="B318" s="120" t="str">
        <f>"- dues of Micro Ent. and Small Ent."</f>
        <v>- dues of Micro Ent. and Small Ent.</v>
      </c>
      <c r="G318" s="121">
        <f>ROUND((AVERAGE('Consol. Historical FS'!C100:D100)/SUM('Consol. Historical FS'!D10:D12))*365,1)</f>
        <v>2</v>
      </c>
      <c r="H318" s="121">
        <f>ROUND((AVERAGE('Consol. Historical FS'!D100:E100)/SUM('Consol. Historical FS'!E10:E12))*365,1)</f>
        <v>4.5</v>
      </c>
      <c r="I318" s="121">
        <f>ROUND((AVERAGE('Consol. Historical FS'!E100:F100)/SUM('Consol. Historical FS'!F10:F12))*365,1)</f>
        <v>6.4</v>
      </c>
      <c r="J318" s="121">
        <f>ROUND((AVERAGE('Consol. Historical FS'!F100:G100)/SUM('Consol. Historical FS'!G10:G12))*365,1)</f>
        <v>7.2</v>
      </c>
      <c r="K318" s="119">
        <f>CHOOSE($C$6,K320,K321,K322)</f>
        <v>7</v>
      </c>
      <c r="L318" s="119">
        <f>CHOOSE($C$6,L320,L321,L322)</f>
        <v>7.5</v>
      </c>
    </row>
    <row r="319" spans="2:12">
      <c r="B319" s="115"/>
      <c r="K319" s="111"/>
      <c r="L319" s="111"/>
    </row>
    <row r="320" spans="2:12">
      <c r="B320" s="118" t="str">
        <f>B313</f>
        <v>Base Case</v>
      </c>
      <c r="K320" s="111">
        <v>7</v>
      </c>
      <c r="L320" s="111">
        <v>7.5</v>
      </c>
    </row>
    <row r="321" spans="1:12">
      <c r="B321" s="118" t="str">
        <f>B314</f>
        <v>Bull Case</v>
      </c>
      <c r="C321" s="117" t="str">
        <f>"+0.5"</f>
        <v>+0.5</v>
      </c>
      <c r="K321" s="101">
        <f>K320+$C321</f>
        <v>7.5</v>
      </c>
      <c r="L321" s="101">
        <f>L320+$C321</f>
        <v>8</v>
      </c>
    </row>
    <row r="322" spans="1:12">
      <c r="B322" s="118" t="str">
        <f>B315</f>
        <v>Bear Case</v>
      </c>
      <c r="C322" s="117" t="str">
        <f>"-0.5"</f>
        <v>-0.5</v>
      </c>
      <c r="K322" s="101">
        <f>K320+$C322</f>
        <v>6.5</v>
      </c>
      <c r="L322" s="101">
        <f>L320+$C322</f>
        <v>7</v>
      </c>
    </row>
    <row r="323" spans="1:12">
      <c r="B323" s="115"/>
      <c r="K323" s="111"/>
      <c r="L323" s="111"/>
    </row>
    <row r="324" spans="1:12">
      <c r="B324" s="120" t="str">
        <f>"- dues other than Micro Ent. and Small Ent."</f>
        <v>- dues other than Micro Ent. and Small Ent.</v>
      </c>
      <c r="C324" s="113"/>
      <c r="D324" s="112"/>
      <c r="E324" s="112"/>
      <c r="G324" s="96">
        <f>ROUND((AVERAGE('Consol. Historical FS'!C101:D101)/SUM('Consol. Historical FS'!D10:D12))*365,0)</f>
        <v>80</v>
      </c>
      <c r="H324" s="96">
        <f>ROUND((AVERAGE('Consol. Historical FS'!D101:E101)/SUM('Consol. Historical FS'!E10:E12))*365,0)</f>
        <v>92</v>
      </c>
      <c r="I324" s="96">
        <f>ROUND((AVERAGE('Consol. Historical FS'!E101:F101)/SUM('Consol. Historical FS'!F10:F12))*365,0)</f>
        <v>89</v>
      </c>
      <c r="J324" s="96">
        <f>ROUND((AVERAGE('Consol. Historical FS'!F101:G101)/SUM('Consol. Historical FS'!G10:G12))*365,0)</f>
        <v>98</v>
      </c>
      <c r="K324" s="119">
        <f>CHOOSE($C$6,K326,K327,K328)</f>
        <v>94</v>
      </c>
      <c r="L324" s="119">
        <f>CHOOSE($C$6,L326,L327,L328)</f>
        <v>96</v>
      </c>
    </row>
    <row r="325" spans="1:12">
      <c r="B325" s="115"/>
      <c r="K325" s="111"/>
      <c r="L325" s="111"/>
    </row>
    <row r="326" spans="1:12">
      <c r="B326" s="118" t="str">
        <f>B320</f>
        <v>Base Case</v>
      </c>
      <c r="K326" s="111">
        <v>94</v>
      </c>
      <c r="L326" s="111">
        <v>96</v>
      </c>
    </row>
    <row r="327" spans="1:12">
      <c r="B327" s="118" t="str">
        <f>B321</f>
        <v>Bull Case</v>
      </c>
      <c r="C327" s="117" t="str">
        <f>"+3"</f>
        <v>+3</v>
      </c>
      <c r="K327" s="99">
        <f>K326+$C327</f>
        <v>97</v>
      </c>
      <c r="L327" s="99">
        <f>L326+$C327</f>
        <v>99</v>
      </c>
    </row>
    <row r="328" spans="1:12">
      <c r="B328" s="118" t="str">
        <f>B322</f>
        <v>Bear Case</v>
      </c>
      <c r="C328" s="117" t="str">
        <f>"-3"</f>
        <v>-3</v>
      </c>
      <c r="K328" s="99">
        <f>K326+$C328</f>
        <v>91</v>
      </c>
      <c r="L328" s="99">
        <f>L326+$C328</f>
        <v>93</v>
      </c>
    </row>
    <row r="330" spans="1:12" ht="20.100000000000001">
      <c r="A330" s="147" t="s">
        <v>8</v>
      </c>
      <c r="B330" s="148" t="s">
        <v>285</v>
      </c>
      <c r="C330" s="149"/>
      <c r="D330" s="149"/>
      <c r="E330" s="149"/>
      <c r="F330" s="149"/>
      <c r="G330" s="149"/>
      <c r="H330" s="149"/>
      <c r="I330" s="149"/>
      <c r="J330" s="149"/>
      <c r="K330" s="149"/>
      <c r="L330" s="149"/>
    </row>
    <row r="331" spans="1:12">
      <c r="B331" s="115"/>
      <c r="C331" s="113"/>
      <c r="D331" s="112"/>
      <c r="E331" s="112"/>
      <c r="K331" s="111"/>
      <c r="L331" s="111"/>
    </row>
    <row r="332" spans="1:12">
      <c r="B332" s="116" t="s">
        <v>108</v>
      </c>
      <c r="C332" s="113"/>
      <c r="D332" s="112"/>
      <c r="E332" s="112"/>
      <c r="F332" s="99">
        <f>'Consol. Historical FS'!C124</f>
        <v>0</v>
      </c>
      <c r="G332" s="99">
        <f>'Consol. Historical FS'!D124</f>
        <v>0</v>
      </c>
      <c r="H332" s="99">
        <f>'Consol. Historical FS'!E124</f>
        <v>0</v>
      </c>
      <c r="I332" s="99">
        <f>'Consol. Historical FS'!F124</f>
        <v>0</v>
      </c>
      <c r="J332" s="99">
        <f>'Consol. Historical FS'!G124</f>
        <v>0</v>
      </c>
      <c r="K332" s="99">
        <f>J332</f>
        <v>0</v>
      </c>
      <c r="L332" s="99">
        <f>K332</f>
        <v>0</v>
      </c>
    </row>
    <row r="333" spans="1:12">
      <c r="B333" s="116" t="s">
        <v>109</v>
      </c>
      <c r="C333" s="113"/>
      <c r="D333" s="112"/>
      <c r="E333" s="112"/>
      <c r="F333" s="99">
        <f>'Consol. Historical FS'!C125</f>
        <v>-88.73</v>
      </c>
      <c r="G333" s="99">
        <f>'Consol. Historical FS'!D125</f>
        <v>3.52</v>
      </c>
      <c r="H333" s="99">
        <f>'Consol. Historical FS'!E125</f>
        <v>-60.32</v>
      </c>
      <c r="I333" s="99">
        <f>'Consol. Historical FS'!F125</f>
        <v>-8.89</v>
      </c>
      <c r="J333" s="99">
        <f>'Consol. Historical FS'!G125</f>
        <v>-8.36</v>
      </c>
      <c r="K333" s="102">
        <v>0</v>
      </c>
      <c r="L333" s="102">
        <v>0</v>
      </c>
    </row>
    <row r="334" spans="1:12">
      <c r="B334" s="116" t="s">
        <v>286</v>
      </c>
      <c r="C334" s="113"/>
      <c r="D334" s="112"/>
      <c r="E334" s="112"/>
      <c r="F334" s="99">
        <f>'Consol. Historical FS'!C126</f>
        <v>-73.81</v>
      </c>
      <c r="G334" s="99">
        <f>'Consol. Historical FS'!D126</f>
        <v>-80.400000000000006</v>
      </c>
      <c r="H334" s="99">
        <f>'Consol. Historical FS'!E126</f>
        <v>-80.900000000000006</v>
      </c>
      <c r="I334" s="99">
        <f>'Consol. Historical FS'!F126</f>
        <v>-89.509999999999991</v>
      </c>
      <c r="J334" s="99">
        <f>'Consol. Historical FS'!G126</f>
        <v>-699.28</v>
      </c>
      <c r="K334" s="102">
        <v>0</v>
      </c>
      <c r="L334" s="102">
        <v>0</v>
      </c>
    </row>
    <row r="335" spans="1:12">
      <c r="B335" s="116" t="s">
        <v>287</v>
      </c>
      <c r="C335" s="113"/>
      <c r="D335" s="112"/>
      <c r="E335" s="112"/>
      <c r="F335" s="99">
        <f>'Consol. Historical FS'!C127</f>
        <v>0</v>
      </c>
      <c r="G335" s="99">
        <f>'Consol. Historical FS'!D127</f>
        <v>0</v>
      </c>
      <c r="H335" s="99">
        <f>'Consol. Historical FS'!E127</f>
        <v>0</v>
      </c>
      <c r="I335" s="99">
        <f>'Consol. Historical FS'!F127</f>
        <v>0</v>
      </c>
      <c r="J335" s="99">
        <f>'Consol. Historical FS'!G127</f>
        <v>0</v>
      </c>
      <c r="K335" s="102">
        <v>0</v>
      </c>
      <c r="L335" s="102">
        <v>0</v>
      </c>
    </row>
    <row r="336" spans="1:12">
      <c r="B336" s="116" t="s">
        <v>112</v>
      </c>
      <c r="C336" s="113"/>
      <c r="D336" s="112"/>
      <c r="E336" s="112"/>
      <c r="F336" s="99">
        <f>'Consol. Historical FS'!C128</f>
        <v>-729.14</v>
      </c>
      <c r="G336" s="99">
        <f>'Consol. Historical FS'!D128</f>
        <v>917.91</v>
      </c>
      <c r="H336" s="99">
        <f>'Consol. Historical FS'!E128</f>
        <v>2527.7600000000002</v>
      </c>
      <c r="I336" s="99">
        <f>'Consol. Historical FS'!F128</f>
        <v>328.79</v>
      </c>
      <c r="J336" s="99">
        <f>'Consol. Historical FS'!G128</f>
        <v>719.33</v>
      </c>
      <c r="K336" s="102">
        <v>0</v>
      </c>
      <c r="L336" s="102">
        <v>0</v>
      </c>
    </row>
    <row r="337" spans="1:12">
      <c r="B337" s="116" t="s">
        <v>113</v>
      </c>
      <c r="C337" s="113"/>
      <c r="D337" s="112"/>
      <c r="E337" s="112"/>
      <c r="F337" s="99">
        <f>'Consol. Historical FS'!C129</f>
        <v>-1760.88</v>
      </c>
      <c r="G337" s="99">
        <f>'Consol. Historical FS'!D129</f>
        <v>-1945.0900000000001</v>
      </c>
      <c r="H337" s="99">
        <f>'Consol. Historical FS'!E129</f>
        <v>-1252.81</v>
      </c>
      <c r="I337" s="99">
        <f>'Consol. Historical FS'!F129</f>
        <v>-925.51</v>
      </c>
      <c r="J337" s="99">
        <f>'Consol. Historical FS'!G129</f>
        <v>-936.43000000000006</v>
      </c>
      <c r="K337" s="99">
        <f>-ROUND(K275*9%,2)</f>
        <v>-112.67</v>
      </c>
      <c r="L337" s="99">
        <f>-ROUND(L275*9%,2)</f>
        <v>-157.66999999999999</v>
      </c>
    </row>
    <row r="338" spans="1:12">
      <c r="B338" s="116" t="s">
        <v>114</v>
      </c>
      <c r="C338" s="113"/>
      <c r="D338" s="112"/>
      <c r="E338" s="112"/>
      <c r="F338" s="99">
        <f>'Consol. Historical FS'!C131</f>
        <v>-5.38</v>
      </c>
      <c r="G338" s="99">
        <f>'Consol. Historical FS'!D131</f>
        <v>-20.47</v>
      </c>
      <c r="H338" s="99">
        <f>'Consol. Historical FS'!E131</f>
        <v>-20.85</v>
      </c>
      <c r="I338" s="99">
        <f>'Consol. Historical FS'!F131</f>
        <v>-99.12</v>
      </c>
      <c r="J338" s="99">
        <f>'Consol. Historical FS'!G131</f>
        <v>-43.52</v>
      </c>
      <c r="K338" s="102">
        <v>0</v>
      </c>
      <c r="L338" s="102">
        <v>0</v>
      </c>
    </row>
    <row r="339" spans="1:12">
      <c r="B339" s="116" t="s">
        <v>115</v>
      </c>
      <c r="C339" s="113"/>
      <c r="D339" s="112"/>
      <c r="E339" s="112"/>
      <c r="F339" s="99">
        <f>'Consol. Historical FS'!C132</f>
        <v>0</v>
      </c>
      <c r="G339" s="99">
        <f>'Consol. Historical FS'!D132</f>
        <v>0</v>
      </c>
      <c r="H339" s="99">
        <f>'Consol. Historical FS'!E132</f>
        <v>0</v>
      </c>
      <c r="I339" s="99">
        <f>'Consol. Historical FS'!F132</f>
        <v>0</v>
      </c>
      <c r="J339" s="99">
        <f>'Consol. Historical FS'!G132</f>
        <v>0</v>
      </c>
      <c r="K339" s="102">
        <v>0</v>
      </c>
      <c r="L339" s="102">
        <v>0</v>
      </c>
    </row>
    <row r="340" spans="1:12">
      <c r="B340" s="116" t="s">
        <v>85</v>
      </c>
      <c r="C340" s="113"/>
      <c r="D340" s="112"/>
      <c r="E340" s="112"/>
      <c r="F340" s="99">
        <f>'Consol. Historical FS'!C133</f>
        <v>-12.95</v>
      </c>
      <c r="G340" s="99">
        <f>'Consol. Historical FS'!D133</f>
        <v>-14.23</v>
      </c>
      <c r="H340" s="99">
        <f>'Consol. Historical FS'!E133</f>
        <v>-16.34</v>
      </c>
      <c r="I340" s="99">
        <f>'Consol. Historical FS'!F133</f>
        <v>-20.61</v>
      </c>
      <c r="J340" s="99">
        <f>'Consol. Historical FS'!G133</f>
        <v>-23.82</v>
      </c>
      <c r="K340" s="102">
        <v>0</v>
      </c>
      <c r="L340" s="102">
        <v>0</v>
      </c>
    </row>
    <row r="341" spans="1:12">
      <c r="B341" s="116" t="s">
        <v>117</v>
      </c>
      <c r="C341" s="113"/>
      <c r="D341" s="112"/>
      <c r="E341" s="112"/>
      <c r="F341" s="99">
        <f>'Consol. Historical FS'!C135</f>
        <v>0</v>
      </c>
      <c r="G341" s="99">
        <f>'Consol. Historical FS'!D135</f>
        <v>0</v>
      </c>
      <c r="H341" s="99">
        <f>'Consol. Historical FS'!E135</f>
        <v>0</v>
      </c>
      <c r="I341" s="99">
        <f>'Consol. Historical FS'!F135</f>
        <v>0</v>
      </c>
      <c r="J341" s="99">
        <f>'Consol. Historical FS'!G135</f>
        <v>0</v>
      </c>
      <c r="K341" s="102">
        <v>0</v>
      </c>
      <c r="L341" s="102">
        <v>0</v>
      </c>
    </row>
    <row r="342" spans="1:12">
      <c r="B342" s="116" t="s">
        <v>118</v>
      </c>
      <c r="C342" s="113"/>
      <c r="D342" s="112"/>
      <c r="E342" s="112"/>
      <c r="F342" s="99">
        <f>'Consol. Historical FS'!C136</f>
        <v>25</v>
      </c>
      <c r="G342" s="99">
        <f>'Consol. Historical FS'!D136</f>
        <v>0</v>
      </c>
      <c r="H342" s="99">
        <f>'Consol. Historical FS'!E136</f>
        <v>0</v>
      </c>
      <c r="I342" s="99">
        <f>'Consol. Historical FS'!F136</f>
        <v>0</v>
      </c>
      <c r="J342" s="99">
        <f>'Consol. Historical FS'!G136</f>
        <v>0</v>
      </c>
      <c r="K342" s="102">
        <v>0</v>
      </c>
      <c r="L342" s="102">
        <v>0</v>
      </c>
    </row>
    <row r="343" spans="1:12">
      <c r="B343" s="116" t="s">
        <v>119</v>
      </c>
      <c r="C343" s="113"/>
      <c r="D343" s="112"/>
      <c r="E343" s="112"/>
      <c r="F343" s="99">
        <f>'Consol. Historical FS'!C137</f>
        <v>-7.01</v>
      </c>
      <c r="G343" s="99">
        <f>'Consol. Historical FS'!D137</f>
        <v>-4.01</v>
      </c>
      <c r="H343" s="99">
        <f>'Consol. Historical FS'!E137</f>
        <v>-0.35</v>
      </c>
      <c r="I343" s="99">
        <f>'Consol. Historical FS'!F137</f>
        <v>-209.51</v>
      </c>
      <c r="J343" s="99">
        <f>'Consol. Historical FS'!G137</f>
        <v>-251.87</v>
      </c>
      <c r="K343" s="102">
        <v>0</v>
      </c>
      <c r="L343" s="102">
        <v>0</v>
      </c>
    </row>
    <row r="344" spans="1:12">
      <c r="B344" s="116" t="s">
        <v>121</v>
      </c>
      <c r="C344" s="113"/>
      <c r="D344" s="112"/>
      <c r="E344" s="112"/>
      <c r="F344" s="99">
        <f>'Consol. Historical FS'!C139</f>
        <v>0</v>
      </c>
      <c r="G344" s="99">
        <f>'Consol. Historical FS'!D139</f>
        <v>0</v>
      </c>
      <c r="H344" s="99">
        <f>'Consol. Historical FS'!E139</f>
        <v>0</v>
      </c>
      <c r="I344" s="99">
        <f>'Consol. Historical FS'!F139</f>
        <v>0</v>
      </c>
      <c r="J344" s="99">
        <f>'Consol. Historical FS'!G139</f>
        <v>0</v>
      </c>
      <c r="K344" s="102">
        <v>0</v>
      </c>
      <c r="L344" s="102">
        <v>0</v>
      </c>
    </row>
    <row r="345" spans="1:12">
      <c r="B345" s="96" t="s">
        <v>133</v>
      </c>
      <c r="C345" s="113"/>
      <c r="D345" s="112"/>
      <c r="E345" s="112"/>
      <c r="F345" s="99">
        <f>'Consol. Historical FS'!C151</f>
        <v>0</v>
      </c>
      <c r="G345" s="99">
        <f>'Consol. Historical FS'!D151</f>
        <v>0</v>
      </c>
      <c r="H345" s="99">
        <f>'Consol. Historical FS'!E151</f>
        <v>0</v>
      </c>
      <c r="I345" s="99">
        <f>'Consol. Historical FS'!F151</f>
        <v>0</v>
      </c>
      <c r="J345" s="99">
        <f>'Consol. Historical FS'!G151</f>
        <v>0</v>
      </c>
      <c r="K345" s="99">
        <f>J345</f>
        <v>0</v>
      </c>
      <c r="L345" s="99">
        <f>K345</f>
        <v>0</v>
      </c>
    </row>
    <row r="346" spans="1:12">
      <c r="B346" s="96" t="s">
        <v>134</v>
      </c>
      <c r="C346" s="113"/>
      <c r="D346" s="112"/>
      <c r="E346" s="112"/>
      <c r="F346" s="99">
        <f>'Consol. Historical FS'!C152</f>
        <v>0</v>
      </c>
      <c r="G346" s="99">
        <f>'Consol. Historical FS'!D152</f>
        <v>0</v>
      </c>
      <c r="H346" s="99">
        <f>'Consol. Historical FS'!E152</f>
        <v>0</v>
      </c>
      <c r="I346" s="99">
        <f>'Consol. Historical FS'!F152</f>
        <v>0</v>
      </c>
      <c r="J346" s="99">
        <f>'Consol. Historical FS'!G152</f>
        <v>0</v>
      </c>
      <c r="K346" s="99">
        <f>J346</f>
        <v>0</v>
      </c>
      <c r="L346" s="99">
        <f>K346</f>
        <v>0</v>
      </c>
    </row>
    <row r="347" spans="1:12">
      <c r="B347" s="115"/>
      <c r="C347" s="113"/>
      <c r="D347" s="112"/>
      <c r="E347" s="112"/>
      <c r="K347" s="111"/>
      <c r="L347" s="111"/>
    </row>
    <row r="348" spans="1:12" ht="20.100000000000001">
      <c r="A348" s="147" t="s">
        <v>8</v>
      </c>
      <c r="B348" s="148" t="s">
        <v>288</v>
      </c>
      <c r="C348" s="149"/>
      <c r="D348" s="149"/>
      <c r="E348" s="149"/>
      <c r="F348" s="149"/>
      <c r="G348" s="149"/>
      <c r="H348" s="149"/>
      <c r="I348" s="149"/>
      <c r="J348" s="149"/>
      <c r="K348" s="149"/>
      <c r="L348" s="149"/>
    </row>
    <row r="349" spans="1:12">
      <c r="B349" s="115"/>
      <c r="C349" s="113"/>
      <c r="D349" s="112"/>
      <c r="E349" s="112"/>
      <c r="K349" s="111"/>
      <c r="L349" s="111"/>
    </row>
    <row r="350" spans="1:12">
      <c r="B350" s="96" t="s">
        <v>138</v>
      </c>
      <c r="C350" s="113"/>
      <c r="D350" s="112"/>
      <c r="E350" s="112"/>
      <c r="F350" s="99">
        <f>'Consol. Historical FS'!C157</f>
        <v>3.8</v>
      </c>
      <c r="G350" s="99">
        <f>'Consol. Historical FS'!D157</f>
        <v>167.91</v>
      </c>
      <c r="H350" s="99">
        <f>'Consol. Historical FS'!E157</f>
        <v>203.79</v>
      </c>
      <c r="I350" s="99">
        <f>'Consol. Historical FS'!F157</f>
        <v>26.71</v>
      </c>
      <c r="J350" s="99">
        <f>'Consol. Historical FS'!G157</f>
        <v>50.72</v>
      </c>
      <c r="K350" s="102">
        <v>0</v>
      </c>
      <c r="L350" s="102">
        <v>0</v>
      </c>
    </row>
    <row r="351" spans="1:12">
      <c r="B351" s="96" t="s">
        <v>139</v>
      </c>
      <c r="C351" s="113"/>
      <c r="D351" s="112"/>
      <c r="E351" s="112"/>
      <c r="F351" s="99">
        <f>'Consol. Historical FS'!C158</f>
        <v>0</v>
      </c>
      <c r="G351" s="99">
        <f>'Consol. Historical FS'!D158</f>
        <v>0</v>
      </c>
      <c r="H351" s="99">
        <f>'Consol. Historical FS'!E158</f>
        <v>0</v>
      </c>
      <c r="I351" s="99">
        <f>'Consol. Historical FS'!F158</f>
        <v>3305.05</v>
      </c>
      <c r="J351" s="99">
        <f>'Consol. Historical FS'!G158</f>
        <v>-71.37</v>
      </c>
      <c r="K351" s="102">
        <v>0</v>
      </c>
      <c r="L351" s="102">
        <v>0</v>
      </c>
    </row>
    <row r="352" spans="1:12">
      <c r="B352" s="96" t="s">
        <v>140</v>
      </c>
      <c r="C352" s="113"/>
      <c r="D352" s="112"/>
      <c r="E352" s="112"/>
      <c r="F352" s="99">
        <f>'Consol. Historical FS'!C159</f>
        <v>0</v>
      </c>
      <c r="G352" s="99">
        <f>'Consol. Historical FS'!D159</f>
        <v>286.35000000000002</v>
      </c>
      <c r="H352" s="99">
        <f>'Consol. Historical FS'!E159</f>
        <v>58.75</v>
      </c>
      <c r="I352" s="99">
        <f>'Consol. Historical FS'!F159</f>
        <v>0</v>
      </c>
      <c r="J352" s="99">
        <f>'Consol. Historical FS'!G159</f>
        <v>0</v>
      </c>
      <c r="K352" s="102">
        <v>0</v>
      </c>
      <c r="L352" s="102">
        <v>0</v>
      </c>
    </row>
    <row r="353" spans="1:12">
      <c r="B353" s="96" t="s">
        <v>289</v>
      </c>
      <c r="C353" s="113"/>
      <c r="D353" s="112"/>
      <c r="E353" s="112"/>
      <c r="F353" s="99">
        <f>'Consol. Historical FS'!C160</f>
        <v>-13438.69</v>
      </c>
      <c r="G353" s="99">
        <f>'Consol. Historical FS'!D160</f>
        <v>-539.30000000000007</v>
      </c>
      <c r="H353" s="99">
        <f>'Consol. Historical FS'!E160</f>
        <v>-14429.07</v>
      </c>
      <c r="I353" s="99">
        <f>'Consol. Historical FS'!F160</f>
        <v>-3273.03</v>
      </c>
      <c r="J353" s="99">
        <f>'Consol. Historical FS'!G160</f>
        <v>-5151.37</v>
      </c>
      <c r="K353" s="102">
        <v>0</v>
      </c>
      <c r="L353" s="102">
        <v>0</v>
      </c>
    </row>
    <row r="354" spans="1:12">
      <c r="B354" s="96" t="s">
        <v>142</v>
      </c>
      <c r="C354" s="113"/>
      <c r="D354" s="112"/>
      <c r="E354" s="112"/>
      <c r="F354" s="99">
        <f>'Consol. Historical FS'!C161</f>
        <v>0</v>
      </c>
      <c r="G354" s="99">
        <f>'Consol. Historical FS'!D161</f>
        <v>0</v>
      </c>
      <c r="H354" s="99">
        <f>'Consol. Historical FS'!E161</f>
        <v>0</v>
      </c>
      <c r="I354" s="99">
        <f>'Consol. Historical FS'!F161</f>
        <v>0</v>
      </c>
      <c r="J354" s="99">
        <f>'Consol. Historical FS'!G161</f>
        <v>0</v>
      </c>
      <c r="K354" s="102">
        <v>0</v>
      </c>
      <c r="L354" s="102">
        <v>0</v>
      </c>
    </row>
    <row r="355" spans="1:12">
      <c r="B355" s="96" t="s">
        <v>143</v>
      </c>
      <c r="C355" s="113"/>
      <c r="D355" s="112"/>
      <c r="E355" s="112"/>
      <c r="F355" s="99">
        <f>'Consol. Historical FS'!C162</f>
        <v>0</v>
      </c>
      <c r="G355" s="99">
        <f>'Consol. Historical FS'!D162</f>
        <v>0</v>
      </c>
      <c r="H355" s="99">
        <f>'Consol. Historical FS'!E162</f>
        <v>0</v>
      </c>
      <c r="I355" s="99">
        <f>'Consol. Historical FS'!F162</f>
        <v>0</v>
      </c>
      <c r="J355" s="99">
        <f>'Consol. Historical FS'!G162</f>
        <v>0</v>
      </c>
      <c r="K355" s="102">
        <v>0</v>
      </c>
      <c r="L355" s="102">
        <v>0</v>
      </c>
    </row>
    <row r="356" spans="1:12">
      <c r="B356" s="96" t="s">
        <v>144</v>
      </c>
      <c r="C356" s="113"/>
      <c r="D356" s="112"/>
      <c r="E356" s="112"/>
      <c r="F356" s="99">
        <f>'Consol. Historical FS'!C163</f>
        <v>1031.7699999999968</v>
      </c>
      <c r="G356" s="99">
        <f>'Consol. Historical FS'!D163</f>
        <v>411.05999999999767</v>
      </c>
      <c r="H356" s="99">
        <f>'Consol. Historical FS'!E163</f>
        <v>1390.2999999999993</v>
      </c>
      <c r="I356" s="99">
        <f>'Consol. Historical FS'!F163</f>
        <v>188.17000000000002</v>
      </c>
      <c r="J356" s="99">
        <f>'Consol. Historical FS'!G163</f>
        <v>72.06</v>
      </c>
      <c r="K356" s="102">
        <v>0</v>
      </c>
      <c r="L356" s="102">
        <v>0</v>
      </c>
    </row>
    <row r="357" spans="1:12">
      <c r="B357" s="96" t="s">
        <v>145</v>
      </c>
      <c r="C357" s="113"/>
      <c r="D357" s="112"/>
      <c r="E357" s="112"/>
      <c r="F357" s="99">
        <f>'Consol. Historical FS'!C164</f>
        <v>-1412.45</v>
      </c>
      <c r="G357" s="99">
        <f>'Consol. Historical FS'!D164</f>
        <v>-4234.68</v>
      </c>
      <c r="H357" s="99">
        <f>'Consol. Historical FS'!E164</f>
        <v>287.06</v>
      </c>
      <c r="I357" s="99">
        <f>'Consol. Historical FS'!F164</f>
        <v>-2996.84</v>
      </c>
      <c r="J357" s="99">
        <f>'Consol. Historical FS'!G164</f>
        <v>2761.32</v>
      </c>
      <c r="K357" s="102">
        <v>0</v>
      </c>
      <c r="L357" s="102">
        <v>0</v>
      </c>
    </row>
    <row r="358" spans="1:12">
      <c r="B358" s="96" t="s">
        <v>146</v>
      </c>
      <c r="C358" s="113"/>
      <c r="D358" s="112"/>
      <c r="E358" s="112"/>
      <c r="F358" s="99">
        <f>'Consol. Historical FS'!C165</f>
        <v>0</v>
      </c>
      <c r="G358" s="99">
        <f>'Consol. Historical FS'!D165</f>
        <v>0</v>
      </c>
      <c r="H358" s="99">
        <f>'Consol. Historical FS'!E165</f>
        <v>0</v>
      </c>
      <c r="I358" s="99">
        <f>'Consol. Historical FS'!F165</f>
        <v>0</v>
      </c>
      <c r="J358" s="99">
        <f>'Consol. Historical FS'!G165</f>
        <v>0</v>
      </c>
      <c r="K358" s="102">
        <v>0</v>
      </c>
      <c r="L358" s="102">
        <v>0</v>
      </c>
    </row>
    <row r="359" spans="1:12">
      <c r="B359" s="96" t="s">
        <v>147</v>
      </c>
      <c r="C359" s="113"/>
      <c r="D359" s="112"/>
      <c r="E359" s="112"/>
      <c r="F359" s="99">
        <f>'Consol. Historical FS'!C166</f>
        <v>2156.1999999999998</v>
      </c>
      <c r="G359" s="99">
        <f>'Consol. Historical FS'!D166</f>
        <v>1819.31</v>
      </c>
      <c r="H359" s="99">
        <f>'Consol. Historical FS'!E166</f>
        <v>1461</v>
      </c>
      <c r="I359" s="99">
        <f>'Consol. Historical FS'!F166</f>
        <v>969.16</v>
      </c>
      <c r="J359" s="99">
        <f>'Consol. Historical FS'!G166</f>
        <v>610.53</v>
      </c>
      <c r="K359" s="99">
        <f>ROUND(SUM('3 Model Projected FS'!H65,'3 Model Projected FS'!H68)*4.5%,0)</f>
        <v>200</v>
      </c>
      <c r="L359" s="99">
        <f>ROUND(SUM('3 Model Projected FS'!I65,'3 Model Projected FS'!I68)*4.5%,0)</f>
        <v>223</v>
      </c>
    </row>
    <row r="360" spans="1:12">
      <c r="B360" s="96" t="s">
        <v>148</v>
      </c>
      <c r="C360" s="113"/>
      <c r="D360" s="112"/>
      <c r="E360" s="112"/>
      <c r="F360" s="99">
        <f>'Consol. Historical FS'!C167</f>
        <v>7.01</v>
      </c>
      <c r="G360" s="99">
        <f>'Consol. Historical FS'!D167</f>
        <v>4.01</v>
      </c>
      <c r="H360" s="99">
        <f>'Consol. Historical FS'!E167</f>
        <v>0.35</v>
      </c>
      <c r="I360" s="99">
        <f>'Consol. Historical FS'!F167</f>
        <v>213.9</v>
      </c>
      <c r="J360" s="99">
        <f>'Consol. Historical FS'!G167</f>
        <v>255.76</v>
      </c>
      <c r="K360" s="102">
        <v>0</v>
      </c>
      <c r="L360" s="102">
        <v>0</v>
      </c>
    </row>
    <row r="361" spans="1:12">
      <c r="B361" s="96" t="s">
        <v>149</v>
      </c>
      <c r="C361" s="113"/>
      <c r="D361" s="112"/>
      <c r="E361" s="112"/>
      <c r="F361" s="99">
        <f>'Consol. Historical FS'!C168</f>
        <v>0</v>
      </c>
      <c r="G361" s="99">
        <f>'Consol. Historical FS'!D168</f>
        <v>0</v>
      </c>
      <c r="H361" s="99">
        <f>'Consol. Historical FS'!E168</f>
        <v>0</v>
      </c>
      <c r="I361" s="99">
        <f>'Consol. Historical FS'!F168</f>
        <v>0</v>
      </c>
      <c r="J361" s="99">
        <f>'Consol. Historical FS'!G168</f>
        <v>0</v>
      </c>
      <c r="K361" s="102">
        <v>0</v>
      </c>
      <c r="L361" s="102">
        <v>0</v>
      </c>
    </row>
    <row r="362" spans="1:12">
      <c r="B362" s="114"/>
      <c r="C362" s="113"/>
      <c r="D362" s="112"/>
      <c r="E362" s="112"/>
      <c r="K362" s="111"/>
      <c r="L362" s="111"/>
    </row>
    <row r="363" spans="1:12" ht="20.100000000000001">
      <c r="A363" s="147" t="s">
        <v>8</v>
      </c>
      <c r="B363" s="148" t="s">
        <v>290</v>
      </c>
      <c r="C363" s="149"/>
      <c r="D363" s="149"/>
      <c r="E363" s="149"/>
      <c r="F363" s="149"/>
      <c r="G363" s="149"/>
      <c r="H363" s="149"/>
      <c r="I363" s="149"/>
      <c r="J363" s="149"/>
      <c r="K363" s="149"/>
      <c r="L363" s="149"/>
    </row>
    <row r="364" spans="1:12">
      <c r="B364" s="114"/>
      <c r="C364" s="113"/>
      <c r="D364" s="112"/>
      <c r="E364" s="112"/>
      <c r="K364" s="111"/>
      <c r="L364" s="111"/>
    </row>
    <row r="365" spans="1:12">
      <c r="B365" s="96" t="s">
        <v>153</v>
      </c>
      <c r="C365" s="113"/>
      <c r="D365" s="112"/>
      <c r="E365" s="112"/>
      <c r="F365" s="99">
        <f>'3 Model Projected FS'!C176</f>
        <v>0</v>
      </c>
      <c r="G365" s="99">
        <f>'3 Model Projected FS'!D176</f>
        <v>800</v>
      </c>
      <c r="H365" s="99">
        <f>'3 Model Projected FS'!E176</f>
        <v>0</v>
      </c>
      <c r="I365" s="99">
        <f>'3 Model Projected FS'!F176</f>
        <v>235.16</v>
      </c>
      <c r="J365" s="99">
        <f>'3 Model Projected FS'!G176</f>
        <v>386.51</v>
      </c>
      <c r="K365" s="102">
        <v>0</v>
      </c>
      <c r="L365" s="102">
        <v>0</v>
      </c>
    </row>
    <row r="366" spans="1:12">
      <c r="B366" s="96" t="s">
        <v>157</v>
      </c>
      <c r="C366" s="113"/>
      <c r="D366" s="112"/>
      <c r="E366" s="112"/>
      <c r="F366" s="99">
        <f>'3 Model Projected FS'!C180</f>
        <v>0</v>
      </c>
      <c r="G366" s="99">
        <f>'3 Model Projected FS'!D180</f>
        <v>0</v>
      </c>
      <c r="H366" s="99">
        <f>'3 Model Projected FS'!E180</f>
        <v>0</v>
      </c>
      <c r="I366" s="99">
        <f>'3 Model Projected FS'!F180</f>
        <v>0</v>
      </c>
      <c r="J366" s="99">
        <f>'3 Model Projected FS'!G180</f>
        <v>0</v>
      </c>
      <c r="K366" s="102">
        <v>0</v>
      </c>
      <c r="L366" s="102">
        <v>0</v>
      </c>
    </row>
    <row r="367" spans="1:12">
      <c r="B367" s="96" t="s">
        <v>159</v>
      </c>
      <c r="C367" s="113"/>
      <c r="D367" s="112"/>
      <c r="E367" s="112"/>
      <c r="F367" s="99">
        <f>'3 Model Projected FS'!C182</f>
        <v>0</v>
      </c>
      <c r="G367" s="99">
        <f>'3 Model Projected FS'!D182</f>
        <v>0</v>
      </c>
      <c r="H367" s="99">
        <f>'3 Model Projected FS'!E182</f>
        <v>0</v>
      </c>
      <c r="I367" s="99">
        <f>'3 Model Projected FS'!F182</f>
        <v>0</v>
      </c>
      <c r="J367" s="99">
        <f>'3 Model Projected FS'!G182</f>
        <v>0</v>
      </c>
      <c r="K367" s="102">
        <v>0</v>
      </c>
      <c r="L367" s="102">
        <v>0</v>
      </c>
    </row>
    <row r="368" spans="1:12">
      <c r="B368" s="96" t="s">
        <v>160</v>
      </c>
      <c r="C368" s="113"/>
      <c r="D368" s="112"/>
      <c r="E368" s="112"/>
      <c r="F368" s="99">
        <f>'3 Model Projected FS'!C183</f>
        <v>0</v>
      </c>
      <c r="G368" s="99">
        <f>'3 Model Projected FS'!D183</f>
        <v>0</v>
      </c>
      <c r="H368" s="99">
        <f>'3 Model Projected FS'!E183</f>
        <v>0</v>
      </c>
      <c r="I368" s="99">
        <f>'3 Model Projected FS'!F183</f>
        <v>0</v>
      </c>
      <c r="J368" s="99">
        <f>'3 Model Projected FS'!G183</f>
        <v>0</v>
      </c>
      <c r="K368" s="102">
        <v>0</v>
      </c>
      <c r="L368" s="102">
        <v>0</v>
      </c>
    </row>
    <row r="369" spans="1:12">
      <c r="B369" s="96" t="s">
        <v>163</v>
      </c>
      <c r="C369" s="113"/>
      <c r="D369" s="112"/>
      <c r="E369" s="112"/>
      <c r="F369" s="99">
        <f>'3 Model Projected FS'!C186</f>
        <v>0</v>
      </c>
      <c r="G369" s="99">
        <f>'3 Model Projected FS'!D186</f>
        <v>0</v>
      </c>
      <c r="H369" s="99">
        <f>'3 Model Projected FS'!E186</f>
        <v>0</v>
      </c>
      <c r="I369" s="99">
        <f>'3 Model Projected FS'!F186</f>
        <v>0</v>
      </c>
      <c r="J369" s="99">
        <f>'3 Model Projected FS'!G186</f>
        <v>0</v>
      </c>
      <c r="K369" s="102">
        <v>0</v>
      </c>
      <c r="L369" s="102">
        <v>0</v>
      </c>
    </row>
    <row r="370" spans="1:12">
      <c r="B370" s="96" t="s">
        <v>165</v>
      </c>
      <c r="C370" s="113"/>
      <c r="D370" s="112"/>
      <c r="E370" s="112"/>
      <c r="F370" s="99">
        <f>'3 Model Projected FS'!C188</f>
        <v>0</v>
      </c>
      <c r="G370" s="99">
        <f>'3 Model Projected FS'!D188</f>
        <v>-5317.63</v>
      </c>
      <c r="H370" s="99">
        <f>'3 Model Projected FS'!E188</f>
        <v>920.48</v>
      </c>
      <c r="I370" s="99">
        <f>'3 Model Projected FS'!F188</f>
        <v>0</v>
      </c>
      <c r="J370" s="99">
        <f>'3 Model Projected FS'!G188</f>
        <v>0</v>
      </c>
      <c r="K370" s="102">
        <v>0</v>
      </c>
      <c r="L370" s="102">
        <v>0</v>
      </c>
    </row>
    <row r="371" spans="1:12">
      <c r="B371" s="96" t="s">
        <v>166</v>
      </c>
      <c r="C371" s="113"/>
      <c r="D371" s="112"/>
      <c r="E371" s="112"/>
      <c r="F371" s="99">
        <f>'3 Model Projected FS'!C189</f>
        <v>0</v>
      </c>
      <c r="G371" s="99">
        <f>'3 Model Projected FS'!D189</f>
        <v>0</v>
      </c>
      <c r="H371" s="99">
        <f>'3 Model Projected FS'!E189</f>
        <v>0</v>
      </c>
      <c r="I371" s="99">
        <f>'3 Model Projected FS'!F189</f>
        <v>0</v>
      </c>
      <c r="J371" s="99">
        <f>'3 Model Projected FS'!G189</f>
        <v>0</v>
      </c>
      <c r="K371" s="102">
        <v>0</v>
      </c>
      <c r="L371" s="102">
        <v>0</v>
      </c>
    </row>
    <row r="372" spans="1:12">
      <c r="B372" s="114"/>
      <c r="C372" s="113"/>
      <c r="D372" s="112"/>
      <c r="E372" s="112"/>
      <c r="K372" s="111"/>
      <c r="L372" s="111"/>
    </row>
    <row r="373" spans="1:12" ht="20.100000000000001">
      <c r="A373" s="147" t="s">
        <v>8</v>
      </c>
      <c r="B373" s="148" t="s">
        <v>291</v>
      </c>
      <c r="C373" s="149"/>
      <c r="D373" s="149"/>
      <c r="E373" s="149"/>
      <c r="F373" s="149"/>
      <c r="G373" s="149"/>
      <c r="H373" s="149"/>
      <c r="I373" s="149"/>
      <c r="J373" s="149"/>
      <c r="K373" s="149"/>
      <c r="L373" s="149"/>
    </row>
    <row r="375" spans="1:12">
      <c r="B375" s="107" t="s">
        <v>224</v>
      </c>
      <c r="K375" s="110">
        <f>CHOOSE($C$6,K377,K378,K379)</f>
        <v>0.15</v>
      </c>
      <c r="L375" s="110">
        <f>CHOOSE($C$6,L377,L378,L379)</f>
        <v>0.155</v>
      </c>
    </row>
    <row r="377" spans="1:12">
      <c r="B377" s="96" t="str">
        <f>B247</f>
        <v>Base Case</v>
      </c>
      <c r="K377" s="109">
        <v>0.15</v>
      </c>
      <c r="L377" s="109">
        <v>0.155</v>
      </c>
    </row>
    <row r="378" spans="1:12">
      <c r="B378" s="96" t="str">
        <f>B248</f>
        <v>Bull Case</v>
      </c>
      <c r="C378" s="105" t="str">
        <f>"+2%"</f>
        <v>+2%</v>
      </c>
      <c r="K378" s="108">
        <f>K377+$C378</f>
        <v>0.16999999999999998</v>
      </c>
      <c r="L378" s="108">
        <f>L377+$C378</f>
        <v>0.17499999999999999</v>
      </c>
    </row>
    <row r="379" spans="1:12">
      <c r="B379" s="96" t="str">
        <f>B249</f>
        <v>Bear Case</v>
      </c>
      <c r="C379" s="105" t="str">
        <f>"-2%"</f>
        <v>-2%</v>
      </c>
      <c r="K379" s="108">
        <f>K377+$C379</f>
        <v>0.13</v>
      </c>
      <c r="L379" s="108">
        <f>L377+$C379</f>
        <v>0.13500000000000001</v>
      </c>
    </row>
    <row r="381" spans="1:12" ht="20.100000000000001">
      <c r="A381" s="147" t="s">
        <v>8</v>
      </c>
      <c r="B381" s="148" t="s">
        <v>292</v>
      </c>
      <c r="C381" s="149"/>
      <c r="D381" s="149"/>
      <c r="E381" s="149"/>
      <c r="F381" s="149"/>
      <c r="G381" s="149"/>
      <c r="H381" s="149"/>
      <c r="I381" s="149"/>
      <c r="J381" s="149"/>
      <c r="K381" s="149"/>
      <c r="L381" s="149"/>
    </row>
    <row r="383" spans="1:12">
      <c r="B383" s="107" t="s">
        <v>293</v>
      </c>
      <c r="K383" s="101">
        <f>CHOOSE($C$6,K385,K386,K387)</f>
        <v>27</v>
      </c>
      <c r="L383" s="101">
        <f>CHOOSE($C$6,L385,L386,L387)</f>
        <v>27</v>
      </c>
    </row>
    <row r="384" spans="1:12">
      <c r="F384" s="121">
        <f>(F392*F391)/'Summary_3 Model Projected FS'!D27</f>
        <v>30.200314494930527</v>
      </c>
      <c r="G384" s="121">
        <f>(G392*G391)/'Summary_3 Model Projected FS'!E27</f>
        <v>30.778699179453898</v>
      </c>
      <c r="H384" s="121">
        <f>(H392*H391)/'Summary_3 Model Projected FS'!F27</f>
        <v>16.843149979207773</v>
      </c>
      <c r="I384" s="121">
        <f>(I392*I391)/'Summary_3 Model Projected FS'!G27</f>
        <v>26.862451067961512</v>
      </c>
      <c r="J384" s="121">
        <f>(J392*J391)/'Summary_3 Model Projected FS'!H27</f>
        <v>18.176603682628638</v>
      </c>
      <c r="K384" s="101"/>
      <c r="L384" s="101"/>
    </row>
    <row r="385" spans="1:12">
      <c r="B385" s="96" t="str">
        <f>B377</f>
        <v>Base Case</v>
      </c>
      <c r="K385" s="106">
        <v>27</v>
      </c>
      <c r="L385" s="106">
        <v>27</v>
      </c>
    </row>
    <row r="386" spans="1:12">
      <c r="B386" s="96" t="str">
        <f>B378</f>
        <v>Bull Case</v>
      </c>
      <c r="C386" s="105" t="str">
        <f>"+4"</f>
        <v>+4</v>
      </c>
      <c r="K386" s="101">
        <f>K385+$C386</f>
        <v>31</v>
      </c>
      <c r="L386" s="101">
        <f>L385+$C386</f>
        <v>31</v>
      </c>
    </row>
    <row r="387" spans="1:12">
      <c r="B387" s="96" t="str">
        <f>B379</f>
        <v>Bear Case</v>
      </c>
      <c r="C387" s="105" t="str">
        <f>"-4"</f>
        <v>-4</v>
      </c>
      <c r="K387" s="101">
        <f>K385+$C387</f>
        <v>23</v>
      </c>
      <c r="L387" s="101">
        <f>L385+$C387</f>
        <v>23</v>
      </c>
    </row>
    <row r="389" spans="1:12" ht="20.100000000000001">
      <c r="A389" s="147" t="s">
        <v>8</v>
      </c>
      <c r="B389" s="148" t="s">
        <v>294</v>
      </c>
      <c r="C389" s="149"/>
      <c r="D389" s="149"/>
      <c r="E389" s="149"/>
      <c r="F389" s="149"/>
      <c r="G389" s="149"/>
      <c r="H389" s="149"/>
      <c r="I389" s="149"/>
      <c r="J389" s="149"/>
      <c r="K389" s="149"/>
      <c r="L389" s="149"/>
    </row>
    <row r="391" spans="1:12">
      <c r="B391" s="96" t="s">
        <v>295</v>
      </c>
      <c r="D391" s="104"/>
      <c r="F391" s="190">
        <v>736.25</v>
      </c>
      <c r="G391" s="190">
        <v>785.75</v>
      </c>
      <c r="H391" s="190">
        <v>631.9</v>
      </c>
      <c r="I391" s="190">
        <v>1375.55</v>
      </c>
      <c r="J391" s="190">
        <v>1174.75</v>
      </c>
      <c r="K391" s="99">
        <f>K383*'Summary_3 Model Projected FS'!H27/K392</f>
        <v>1745.0042127679274</v>
      </c>
      <c r="L391" s="99">
        <f>L383*'Summary_3 Model Projected FS'!I27/L392</f>
        <v>2251.694504884033</v>
      </c>
    </row>
    <row r="392" spans="1:12">
      <c r="B392" s="96" t="s">
        <v>296</v>
      </c>
      <c r="F392" s="191">
        <v>203.17500000000001</v>
      </c>
      <c r="G392" s="191">
        <v>211.24</v>
      </c>
      <c r="H392" s="191">
        <f>I392</f>
        <v>216.01</v>
      </c>
      <c r="I392" s="191">
        <f>J392</f>
        <v>216.01</v>
      </c>
      <c r="J392" s="191">
        <v>216.01</v>
      </c>
      <c r="K392" s="103">
        <f>J392</f>
        <v>216.01</v>
      </c>
      <c r="L392" s="103">
        <f>K392</f>
        <v>216.01</v>
      </c>
    </row>
    <row r="393" spans="1:12">
      <c r="B393" s="96" t="s">
        <v>297</v>
      </c>
      <c r="F393" s="190">
        <f>0.2*'Consol. Historical FS'!C34</f>
        <v>1009.748</v>
      </c>
      <c r="G393" s="190">
        <f>0.22*'Consol. Historical FS'!D34</f>
        <v>1089.6996000000001</v>
      </c>
      <c r="H393" s="190">
        <f>0.2*'Consol. Historical FS'!E34</f>
        <v>1078.55</v>
      </c>
      <c r="I393" s="190">
        <f>0.16*'Consol. Historical FS'!F34</f>
        <v>1296.6384</v>
      </c>
      <c r="J393" s="190">
        <f>0.14*'Consol. Historical FS'!G34</f>
        <v>1548.5764000000001</v>
      </c>
      <c r="K393" s="99">
        <f>K375*'Summary_3 Model Projected FS'!H27</f>
        <v>2094.1019999999999</v>
      </c>
      <c r="L393" s="99">
        <f>L375*'Summary_3 Model Projected FS'!I27</f>
        <v>2792.23045</v>
      </c>
    </row>
    <row r="394" spans="1:12">
      <c r="B394" s="96" t="s">
        <v>298</v>
      </c>
      <c r="F394" s="101">
        <f>ROUND('3 Model Projected FS'!C82/Scenarios!F392,2)</f>
        <v>150.75</v>
      </c>
      <c r="G394" s="101">
        <f>ROUND('3 Model Projected FS'!D82/Scenarios!G392,2)</f>
        <v>198.77</v>
      </c>
      <c r="H394" s="101">
        <f>ROUND('3 Model Projected FS'!E82/Scenarios!H392,2)</f>
        <v>211.03</v>
      </c>
      <c r="I394" s="101">
        <f>ROUND('3 Model Projected FS'!F82/Scenarios!I392,2)</f>
        <v>245.1</v>
      </c>
      <c r="J394" s="101">
        <f>ROUND('3 Model Projected FS'!G82/Scenarios!J392,2)</f>
        <v>289.04000000000002</v>
      </c>
      <c r="K394" s="101">
        <f>ROUND('3 Model Projected FS'!H82/Scenarios!K392,2)</f>
        <v>277.94</v>
      </c>
      <c r="L394" s="101">
        <f>ROUND('3 Model Projected FS'!I82/Scenarios!L392,2)</f>
        <v>351.57</v>
      </c>
    </row>
    <row r="395" spans="1:12">
      <c r="B395" s="96" t="s">
        <v>299</v>
      </c>
      <c r="F395" s="100">
        <f>ROUND('3 Model Projected FS'!C39/Scenarios!F392,2)</f>
        <v>24.58</v>
      </c>
      <c r="G395" s="100">
        <f>ROUND('3 Model Projected FS'!D39/Scenarios!G392,2)</f>
        <v>23.13</v>
      </c>
      <c r="H395" s="100">
        <f>ROUND('3 Model Projected FS'!E39/Scenarios!H392,2)</f>
        <v>24.58</v>
      </c>
      <c r="I395" s="100">
        <f>ROUND('3 Model Projected FS'!F39/Scenarios!I392,2)</f>
        <v>37.549999999999997</v>
      </c>
      <c r="J395" s="100">
        <f>ROUND('3 Model Projected FS'!G39/Scenarios!J392,2)</f>
        <v>51.35</v>
      </c>
      <c r="K395" s="100">
        <f>ROUND('3 Model Projected FS'!H39/Scenarios!K392,2)</f>
        <v>64.81</v>
      </c>
      <c r="L395" s="100">
        <f>ROUND('3 Model Projected FS'!I39/Scenarios!L392,2)</f>
        <v>83.63</v>
      </c>
    </row>
    <row r="396" spans="1:12">
      <c r="B396" s="96" t="s">
        <v>300</v>
      </c>
      <c r="F396" s="100">
        <f>ROUND(F393/F392,2)</f>
        <v>4.97</v>
      </c>
      <c r="G396" s="100">
        <f>ROUND(G393/G392,2)</f>
        <v>5.16</v>
      </c>
      <c r="H396" s="100">
        <f>ROUND(H393/H392,2)</f>
        <v>4.99</v>
      </c>
      <c r="I396" s="100">
        <f>ROUND(I393/I392,2)</f>
        <v>6</v>
      </c>
      <c r="J396" s="100">
        <f>ROUND(J393/J392,2)</f>
        <v>7.17</v>
      </c>
      <c r="K396" s="100">
        <f>ROUND(K393/K392,2)</f>
        <v>9.69</v>
      </c>
      <c r="L396" s="100">
        <f>ROUND(L393/L392,2)</f>
        <v>12.93</v>
      </c>
    </row>
    <row r="398" spans="1:12">
      <c r="B398" s="96" t="s">
        <v>301</v>
      </c>
      <c r="F398" s="99">
        <f>ROUND(F392*F391,2)</f>
        <v>149587.59</v>
      </c>
      <c r="G398" s="99">
        <f>ROUND(G392*G391,2)</f>
        <v>165981.82999999999</v>
      </c>
      <c r="H398" s="99">
        <f>ROUND(H392*H391,2)</f>
        <v>136496.72</v>
      </c>
      <c r="I398" s="99">
        <f>ROUND(I392*I391,2)</f>
        <v>297132.56</v>
      </c>
      <c r="J398" s="99">
        <f>ROUND(J392*J391,2)</f>
        <v>253757.75</v>
      </c>
      <c r="K398" s="99">
        <f>ROUND(K392*K391,2)</f>
        <v>376938.36</v>
      </c>
      <c r="L398" s="99">
        <f>ROUND(L392*L391,2)</f>
        <v>486388.53</v>
      </c>
    </row>
    <row r="399" spans="1:12">
      <c r="B399" s="96" t="s">
        <v>302</v>
      </c>
      <c r="F399" s="99">
        <f>ROUND(SUM('3 Model Projected FS'!C88,'3 Model Projected FS'!C100),2)</f>
        <v>33335.53</v>
      </c>
      <c r="G399" s="99">
        <f>ROUND(SUM('3 Model Projected FS'!D88,'3 Model Projected FS'!D100),2)</f>
        <v>45453.04</v>
      </c>
      <c r="H399" s="99">
        <f>ROUND(SUM('3 Model Projected FS'!E88,'3 Model Projected FS'!E100),2)</f>
        <v>49819.31</v>
      </c>
      <c r="I399" s="99">
        <f>ROUND(SUM('3 Model Projected FS'!F88,'3 Model Projected FS'!F100),2)</f>
        <v>46279.23</v>
      </c>
      <c r="J399" s="99">
        <f>ROUND(SUM('3 Model Projected FS'!G88,'3 Model Projected FS'!G100),2)</f>
        <v>45810.03</v>
      </c>
      <c r="K399" s="99">
        <f>ROUND(SUM('3 Model Projected FS'!H88,'3 Model Projected FS'!H100),2)</f>
        <v>51788.14</v>
      </c>
      <c r="L399" s="99">
        <f>ROUND(SUM('3 Model Projected FS'!I88,'3 Model Projected FS'!I100),2)</f>
        <v>58724.12</v>
      </c>
    </row>
    <row r="400" spans="1:12">
      <c r="B400" s="96" t="s">
        <v>303</v>
      </c>
      <c r="F400" s="99">
        <f>ROUND(SUM('3 Model Projected FS'!C67:C68),2)</f>
        <v>4700.78</v>
      </c>
      <c r="G400" s="99">
        <f>ROUND(SUM('3 Model Projected FS'!D67:D68),2)</f>
        <v>10667.41</v>
      </c>
      <c r="H400" s="99">
        <f>ROUND(SUM('3 Model Projected FS'!E67:E68),2)</f>
        <v>4248.78</v>
      </c>
      <c r="I400" s="99">
        <f>ROUND(SUM('3 Model Projected FS'!F67:F68),2)</f>
        <v>7631.88</v>
      </c>
      <c r="J400" s="99">
        <f>ROUND(SUM('3 Model Projected FS'!G67:G68),2)</f>
        <v>6605.97</v>
      </c>
      <c r="K400" s="99">
        <f>ROUND(SUM('3 Model Projected FS'!H67:H68),2)</f>
        <v>14546.04</v>
      </c>
      <c r="L400" s="99">
        <f>ROUND(SUM('3 Model Projected FS'!I67:I68),2)</f>
        <v>24041.85</v>
      </c>
    </row>
    <row r="401" spans="1:12">
      <c r="B401" s="98" t="s">
        <v>304</v>
      </c>
      <c r="C401" s="98"/>
      <c r="D401" s="98"/>
      <c r="E401" s="98"/>
      <c r="F401" s="97">
        <f>ROUND(F398+F399-F400,2)</f>
        <v>178222.34</v>
      </c>
      <c r="G401" s="97">
        <f>ROUND(G398+G399-G400,2)</f>
        <v>200767.46</v>
      </c>
      <c r="H401" s="97">
        <f>ROUND(H398+H399-H400,2)</f>
        <v>182067.25</v>
      </c>
      <c r="I401" s="97">
        <f>ROUND(I398+I399-I400,2)</f>
        <v>335779.91</v>
      </c>
      <c r="J401" s="97">
        <f>ROUND(J398+J399-J400,2)</f>
        <v>292961.81</v>
      </c>
      <c r="K401" s="97">
        <f>ROUND(K398+K399-K400,2)</f>
        <v>414180.46</v>
      </c>
      <c r="L401" s="97">
        <f>ROUND(L398+L399-L400,2)</f>
        <v>521070.8</v>
      </c>
    </row>
    <row r="403" spans="1:12" ht="19.5">
      <c r="A403" s="147" t="s">
        <v>8</v>
      </c>
      <c r="B403" s="148" t="s">
        <v>305</v>
      </c>
      <c r="C403" s="149"/>
      <c r="D403" s="149"/>
      <c r="E403" s="149"/>
      <c r="F403" s="149"/>
      <c r="G403" s="149"/>
      <c r="H403" s="149"/>
      <c r="I403" s="149"/>
      <c r="J403" s="149"/>
      <c r="K403" s="149"/>
      <c r="L403" s="149"/>
    </row>
    <row r="405" spans="1:12">
      <c r="B405" s="107" t="s">
        <v>306</v>
      </c>
      <c r="K405" s="110"/>
      <c r="L405" s="110"/>
    </row>
    <row r="406" spans="1:12">
      <c r="K406" s="110">
        <f>CHOOSE($C$6,K408,K409,K410)</f>
        <v>0.24</v>
      </c>
      <c r="L406" s="110">
        <f>CHOOSE($C$6,L408,L409,L410)</f>
        <v>0.24199999999999999</v>
      </c>
    </row>
    <row r="407" spans="1:12">
      <c r="B407" s="98" t="s">
        <v>307</v>
      </c>
      <c r="F407" s="170">
        <f>'Consol. Historical FS'!C97+'Consol. Historical FS'!C98</f>
        <v>432.26</v>
      </c>
      <c r="G407" s="170">
        <f>'Consol. Historical FS'!D97+'Consol. Historical FS'!D98</f>
        <v>5793.72</v>
      </c>
      <c r="H407" s="170">
        <f>'Consol. Historical FS'!E97+'Consol. Historical FS'!E98</f>
        <v>3364.3399999999997</v>
      </c>
      <c r="I407" s="170">
        <f>'Consol. Historical FS'!F97+'Consol. Historical FS'!F98</f>
        <v>8687.5</v>
      </c>
      <c r="J407" s="170">
        <f>'Consol. Historical FS'!G97+'Consol. Historical FS'!G98</f>
        <v>10233.91</v>
      </c>
      <c r="K407" s="170">
        <f>J407*(1+K406)</f>
        <v>12690.0484</v>
      </c>
      <c r="L407" s="170">
        <f t="shared" ref="L407" si="4">K407*(1+L406)</f>
        <v>15761.040112799999</v>
      </c>
    </row>
    <row r="408" spans="1:12">
      <c r="B408" s="96" t="str">
        <f>B385</f>
        <v>Base Case</v>
      </c>
      <c r="K408" s="109">
        <v>0.24</v>
      </c>
      <c r="L408" s="109">
        <v>0.24199999999999999</v>
      </c>
    </row>
    <row r="409" spans="1:12">
      <c r="B409" s="96" t="str">
        <f t="shared" ref="B409:B410" si="5">B386</f>
        <v>Bull Case</v>
      </c>
      <c r="C409" s="105" t="str">
        <f>"+3%"</f>
        <v>+3%</v>
      </c>
      <c r="K409" s="108">
        <f>K408+$C409</f>
        <v>0.27</v>
      </c>
      <c r="L409" s="108">
        <f>L408+$C409</f>
        <v>0.27200000000000002</v>
      </c>
    </row>
    <row r="410" spans="1:12">
      <c r="B410" s="96" t="str">
        <f t="shared" si="5"/>
        <v>Bear Case</v>
      </c>
      <c r="C410" s="105" t="str">
        <f>"-3%"</f>
        <v>-3%</v>
      </c>
      <c r="K410" s="108">
        <f>K408+$C410</f>
        <v>0.21</v>
      </c>
      <c r="L410" s="108">
        <f>L408+$C410</f>
        <v>0.21199999999999999</v>
      </c>
    </row>
    <row r="411" spans="1:12">
      <c r="K411" s="171"/>
      <c r="L411" s="171"/>
    </row>
    <row r="412" spans="1:12">
      <c r="K412" s="110">
        <f>CHOOSE($C$6,K414,K415,K416)</f>
        <v>0.1</v>
      </c>
      <c r="L412" s="110">
        <f>CHOOSE($C$6,L414,L415,L416)</f>
        <v>0.1</v>
      </c>
    </row>
    <row r="413" spans="1:12">
      <c r="B413" s="98" t="s">
        <v>308</v>
      </c>
      <c r="F413" s="170">
        <f>'Consol. Historical FS'!C85+'Consol. Historical FS'!C86</f>
        <v>33507.86</v>
      </c>
      <c r="G413" s="170">
        <f>'Consol. Historical FS'!D85+'Consol. Historical FS'!D86</f>
        <v>41675.26</v>
      </c>
      <c r="H413" s="170">
        <f>'Consol. Historical FS'!E85+'Consol. Historical FS'!E86</f>
        <v>49198.68</v>
      </c>
      <c r="I413" s="170">
        <f>'Consol. Historical FS'!F85+'Consol. Historical FS'!F86</f>
        <v>40616.21</v>
      </c>
      <c r="J413" s="170">
        <f>'Consol. Historical FS'!G85+'Consol. Historical FS'!G86</f>
        <v>41220.29</v>
      </c>
      <c r="K413" s="170">
        <f>J413*(1+K412)</f>
        <v>45342.319000000003</v>
      </c>
      <c r="L413" s="170">
        <f t="shared" ref="L413" si="6">K413*(1+L412)</f>
        <v>49876.550900000009</v>
      </c>
    </row>
    <row r="414" spans="1:12">
      <c r="B414" s="96" t="str">
        <f>B408</f>
        <v>Base Case</v>
      </c>
      <c r="K414" s="109">
        <v>0.1</v>
      </c>
      <c r="L414" s="109">
        <v>0.1</v>
      </c>
    </row>
    <row r="415" spans="1:12">
      <c r="B415" s="96" t="str">
        <f t="shared" ref="B415:B416" si="7">B409</f>
        <v>Bull Case</v>
      </c>
      <c r="C415" s="105" t="str">
        <f>"+5%"</f>
        <v>+5%</v>
      </c>
      <c r="K415" s="108">
        <f>K414+$C415</f>
        <v>0.15000000000000002</v>
      </c>
      <c r="L415" s="108">
        <f>L414+$C415</f>
        <v>0.15000000000000002</v>
      </c>
    </row>
    <row r="416" spans="1:12">
      <c r="B416" s="96" t="str">
        <f t="shared" si="7"/>
        <v>Bear Case</v>
      </c>
      <c r="C416" s="105" t="str">
        <f>"-3%"</f>
        <v>-3%</v>
      </c>
      <c r="K416" s="108">
        <f>K414+$C416</f>
        <v>7.0000000000000007E-2</v>
      </c>
      <c r="L416" s="108">
        <f>L414+$C416</f>
        <v>7.0000000000000007E-2</v>
      </c>
    </row>
    <row r="418" spans="2:12" s="98" customFormat="1">
      <c r="B418" s="98" t="s">
        <v>309</v>
      </c>
      <c r="F418" s="172">
        <f>'Consol. Historical FS'!C20</f>
        <v>2255.29</v>
      </c>
      <c r="G418" s="172">
        <f>'Consol. Historical FS'!D20</f>
        <v>2543.92</v>
      </c>
      <c r="H418" s="172">
        <f>'Consol. Historical FS'!E20</f>
        <v>2362.64</v>
      </c>
      <c r="I418" s="172">
        <f>'Consol. Historical FS'!F20</f>
        <v>2732.94</v>
      </c>
      <c r="J418" s="172">
        <f>'Consol. Historical FS'!G20</f>
        <v>2531.8200000000002</v>
      </c>
      <c r="K418" s="172">
        <f>J418*(1+K419)</f>
        <v>3063.5021999999999</v>
      </c>
      <c r="L418" s="172">
        <f t="shared" ref="L418" si="8">K418*(1+L419)</f>
        <v>3706.8376619999999</v>
      </c>
    </row>
    <row r="419" spans="2:12" s="98" customFormat="1">
      <c r="B419" s="98" t="s">
        <v>310</v>
      </c>
      <c r="F419" s="128">
        <f>F418/'Consol. Historical FS'!C19</f>
        <v>0.34215956087836463</v>
      </c>
      <c r="G419" s="128">
        <f>G418/'Consol. Historical FS'!D19</f>
        <v>0.39593222871408251</v>
      </c>
      <c r="H419" s="128">
        <f>H418/'Consol. Historical FS'!E19</f>
        <v>0.31401841334735087</v>
      </c>
      <c r="I419" s="128">
        <f>I418/'Consol. Historical FS'!F19</f>
        <v>0.23038210718693311</v>
      </c>
      <c r="J419" s="128">
        <f>J418/'Consol. Historical FS'!G19</f>
        <v>0.18397728750820219</v>
      </c>
      <c r="K419" s="110">
        <f>CHOOSE($C$6,K420,K421,K422)</f>
        <v>0.21</v>
      </c>
      <c r="L419" s="110">
        <f t="shared" ref="L419" si="9">CHOOSE($C$6,L420,L421,L422)</f>
        <v>0.21</v>
      </c>
    </row>
    <row r="420" spans="2:12">
      <c r="B420" s="96" t="str">
        <f>B414</f>
        <v>Base Case</v>
      </c>
      <c r="K420" s="108">
        <v>0.21</v>
      </c>
      <c r="L420" s="108">
        <v>0.21</v>
      </c>
    </row>
    <row r="421" spans="2:12">
      <c r="B421" s="96" t="str">
        <f t="shared" ref="B421:B422" si="10">B415</f>
        <v>Bull Case</v>
      </c>
      <c r="C421" s="105" t="str">
        <f>"+3%"</f>
        <v>+3%</v>
      </c>
      <c r="K421" s="108">
        <f>K420+$C421</f>
        <v>0.24</v>
      </c>
      <c r="L421" s="108">
        <f>L420+$C421</f>
        <v>0.24</v>
      </c>
    </row>
    <row r="422" spans="2:12">
      <c r="B422" s="96" t="str">
        <f t="shared" si="10"/>
        <v>Bear Case</v>
      </c>
      <c r="C422" s="105" t="str">
        <f>"-3%"</f>
        <v>-3%</v>
      </c>
      <c r="K422" s="108">
        <f>K420+$C422</f>
        <v>0.18</v>
      </c>
      <c r="L422" s="108">
        <f>L420+$C422</f>
        <v>0.18</v>
      </c>
    </row>
    <row r="424" spans="2:12">
      <c r="B424" s="107" t="s">
        <v>311</v>
      </c>
    </row>
    <row r="426" spans="2:12">
      <c r="B426" s="96" t="s">
        <v>312</v>
      </c>
      <c r="F426" s="170">
        <f>'Consol. Historical FS'!C43+'Consol. Historical FS'!C44+'Consol. Historical FS'!C46+'Consol. Historical FS'!C48</f>
        <v>44100.49</v>
      </c>
      <c r="G426" s="170">
        <f>'Consol. Historical FS'!D43+'Consol. Historical FS'!D44+'Consol. Historical FS'!D46+'Consol. Historical FS'!D48</f>
        <v>55841.49</v>
      </c>
      <c r="H426" s="170">
        <f>'Consol. Historical FS'!E43+'Consol. Historical FS'!E44+'Consol. Historical FS'!E46+'Consol. Historical FS'!E48</f>
        <v>65874.789999999994</v>
      </c>
      <c r="I426" s="170">
        <f>'Consol. Historical FS'!F43+'Consol. Historical FS'!F44+'Consol. Historical FS'!F46+'Consol. Historical FS'!F48</f>
        <v>68240.88</v>
      </c>
      <c r="J426" s="170">
        <f>'Consol. Historical FS'!G43+'Consol. Historical FS'!G44+'Consol. Historical FS'!G46+'Consol. Historical FS'!G48</f>
        <v>82522.73000000001</v>
      </c>
      <c r="K426" s="170">
        <f>J426+K428-(K429-J429)</f>
        <v>98660.447035847392</v>
      </c>
      <c r="L426" s="170">
        <f t="shared" ref="L426" si="11">K426+L428-(L429-K429)</f>
        <v>111796.82879480923</v>
      </c>
    </row>
    <row r="427" spans="2:12" s="98" customFormat="1">
      <c r="B427" s="98" t="s">
        <v>313</v>
      </c>
      <c r="F427" s="172">
        <f>'Consol. Historical FS'!C18</f>
        <v>2107.34</v>
      </c>
      <c r="G427" s="172">
        <f>'Consol. Historical FS'!D18</f>
        <v>3099.3</v>
      </c>
      <c r="H427" s="172">
        <f>'Consol. Historical FS'!E18</f>
        <v>3423.24</v>
      </c>
      <c r="I427" s="172">
        <f>'Consol. Historical FS'!F18</f>
        <v>3888.46</v>
      </c>
      <c r="J427" s="172">
        <f>'Consol. Historical FS'!G18</f>
        <v>4378.93</v>
      </c>
      <c r="K427" s="172">
        <f>K430*K426</f>
        <v>5229.0036928999116</v>
      </c>
      <c r="L427" s="172">
        <f t="shared" ref="L427" si="12">L430*L426</f>
        <v>5925.2319261248895</v>
      </c>
    </row>
    <row r="428" spans="2:12">
      <c r="B428" s="96" t="s">
        <v>314</v>
      </c>
      <c r="G428" s="170">
        <f>G426+G427-F426</f>
        <v>14840.300000000003</v>
      </c>
      <c r="H428" s="170">
        <f t="shared" ref="H428:I428" si="13">H426+H427-G426</f>
        <v>13456.54</v>
      </c>
      <c r="I428" s="170">
        <f t="shared" si="13"/>
        <v>6254.5500000000175</v>
      </c>
      <c r="J428" s="170">
        <f>J426+J427-I426</f>
        <v>18660.78</v>
      </c>
      <c r="K428" s="96">
        <v>12000</v>
      </c>
      <c r="L428" s="96">
        <v>15000</v>
      </c>
    </row>
    <row r="429" spans="2:12">
      <c r="B429" s="96" t="s">
        <v>315</v>
      </c>
      <c r="F429" s="170">
        <f>'Consol. Historical FS'!C45</f>
        <v>3697.13</v>
      </c>
      <c r="G429" s="170">
        <f>'Consol. Historical FS'!D45</f>
        <v>4022.9</v>
      </c>
      <c r="H429" s="170">
        <f>'Consol. Historical FS'!E45</f>
        <v>6814.03</v>
      </c>
      <c r="I429" s="170">
        <f>'Consol. Historical FS'!F45</f>
        <v>10936.09</v>
      </c>
      <c r="J429" s="170">
        <f>'Consol. Historical FS'!G45</f>
        <v>11592.19</v>
      </c>
      <c r="K429" s="170">
        <f>J429/J428*K428</f>
        <v>7454.4729641526246</v>
      </c>
      <c r="L429" s="170">
        <f t="shared" ref="L429" si="14">K429/K428*L428</f>
        <v>9318.0912051907817</v>
      </c>
    </row>
    <row r="430" spans="2:12" s="98" customFormat="1">
      <c r="B430" s="98" t="s">
        <v>316</v>
      </c>
      <c r="F430" s="128">
        <f>F427/F426</f>
        <v>4.7784956584382629E-2</v>
      </c>
      <c r="G430" s="128">
        <f t="shared" ref="G430:J430" si="15">G427/G426</f>
        <v>5.5501742521555215E-2</v>
      </c>
      <c r="H430" s="128">
        <f t="shared" si="15"/>
        <v>5.1965858259282495E-2</v>
      </c>
      <c r="I430" s="128">
        <f t="shared" si="15"/>
        <v>5.6981387109896586E-2</v>
      </c>
      <c r="J430" s="128">
        <f t="shared" si="15"/>
        <v>5.3063319645387394E-2</v>
      </c>
      <c r="K430" s="110">
        <f>CHOOSE($C$6,K431,K432,K433)</f>
        <v>5.2999999999999999E-2</v>
      </c>
      <c r="L430" s="110">
        <f t="shared" ref="L430" si="16">CHOOSE($C$6,L431,L432,L433)</f>
        <v>5.2999999999999999E-2</v>
      </c>
    </row>
    <row r="431" spans="2:12">
      <c r="B431" s="96" t="str">
        <f>B420</f>
        <v>Base Case</v>
      </c>
      <c r="K431" s="108">
        <v>5.2999999999999999E-2</v>
      </c>
      <c r="L431" s="108">
        <v>5.2999999999999999E-2</v>
      </c>
    </row>
    <row r="432" spans="2:12">
      <c r="B432" s="96" t="str">
        <f t="shared" ref="B432:B433" si="17">B421</f>
        <v>Bull Case</v>
      </c>
      <c r="C432" s="105" t="str">
        <f>"-0.3%"</f>
        <v>-0.3%</v>
      </c>
      <c r="K432" s="108">
        <f>K431+$C432</f>
        <v>4.9999999999999996E-2</v>
      </c>
      <c r="L432" s="108">
        <f>L431+$C432</f>
        <v>4.9999999999999996E-2</v>
      </c>
    </row>
    <row r="433" spans="2:12">
      <c r="B433" s="96" t="str">
        <f t="shared" si="17"/>
        <v>Bear Case</v>
      </c>
      <c r="C433" s="105" t="str">
        <f>"+0.4%"</f>
        <v>+0.4%</v>
      </c>
      <c r="K433" s="108">
        <f>K431+$C433</f>
        <v>5.6999999999999995E-2</v>
      </c>
      <c r="L433" s="108">
        <f>L431+$C433</f>
        <v>5.6999999999999995E-2</v>
      </c>
    </row>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4342" r:id="rId4" name="Drop Down 6">
              <controlPr defaultSize="0" autoLine="0" autoPict="0">
                <anchor moveWithCells="1">
                  <from>
                    <xdr:col>2</xdr:col>
                    <xdr:colOff>0</xdr:colOff>
                    <xdr:row>4</xdr:row>
                    <xdr:rowOff>25400</xdr:rowOff>
                  </from>
                  <to>
                    <xdr:col>3</xdr:col>
                    <xdr:colOff>127000</xdr:colOff>
                    <xdr:row>6</xdr:row>
                    <xdr:rowOff>25400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23F77-2930-4FBB-9616-E8EC44B7CAAB}">
  <sheetPr>
    <tabColor rgb="FF1F4E78"/>
  </sheetPr>
  <dimension ref="A13"/>
  <sheetViews>
    <sheetView showGridLines="0" tabSelected="1" workbookViewId="0">
      <selection activeCell="A13" sqref="A13"/>
    </sheetView>
  </sheetViews>
  <sheetFormatPr defaultColWidth="8.85546875" defaultRowHeight="15"/>
  <sheetData>
    <row r="13" spans="1:1" ht="39">
      <c r="A13" s="89" t="s">
        <v>317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6BF7A-99CC-471B-B2C4-D7DE1ADA6134}">
  <sheetPr>
    <pageSetUpPr autoPageBreaks="0"/>
  </sheetPr>
  <dimension ref="B1:H35"/>
  <sheetViews>
    <sheetView showGridLines="0" zoomScale="92" zoomScaleNormal="73" workbookViewId="0">
      <pane ySplit="3" topLeftCell="A4" activePane="bottomLeft" state="frozen"/>
      <selection pane="bottomLeft" activeCell="D26" sqref="D26"/>
    </sheetView>
  </sheetViews>
  <sheetFormatPr defaultRowHeight="15"/>
  <cols>
    <col min="1" max="1" width="1.85546875" style="1" customWidth="1"/>
    <col min="2" max="2" width="26.140625" style="1" bestFit="1" customWidth="1"/>
    <col min="3" max="3" width="6.7109375" style="1" hidden="1" customWidth="1"/>
    <col min="4" max="5" width="9.140625" style="1"/>
    <col min="6" max="6" width="8.85546875" style="1" customWidth="1"/>
    <col min="7" max="7" width="9.140625" style="1"/>
    <col min="8" max="8" width="8.85546875" style="1" customWidth="1"/>
    <col min="9" max="16384" width="9.140625" style="1"/>
  </cols>
  <sheetData>
    <row r="1" spans="2:8">
      <c r="H1" s="5" t="str">
        <f>[2]Scenarios!L1</f>
        <v>Currently Running: Base Case Scenario</v>
      </c>
    </row>
    <row r="2" spans="2:8" ht="18.75">
      <c r="B2" s="78" t="s">
        <v>318</v>
      </c>
      <c r="C2" s="78"/>
      <c r="D2" s="78"/>
      <c r="E2" s="78"/>
      <c r="F2" s="78"/>
      <c r="G2" s="78"/>
      <c r="H2" s="78"/>
    </row>
    <row r="3" spans="2:8">
      <c r="B3" s="79" t="s">
        <v>2</v>
      </c>
      <c r="C3" s="80" t="str">
        <f>'[2]3 Model Projected FS'!D3</f>
        <v>FY22A</v>
      </c>
      <c r="D3" s="80" t="str">
        <f>'[2]3 Model Projected FS'!E3</f>
        <v>FY23A</v>
      </c>
      <c r="E3" s="80" t="str">
        <f>'[2]3 Model Projected FS'!F3</f>
        <v>FY24A</v>
      </c>
      <c r="F3" s="80" t="str">
        <f>'[2]3 Model Projected FS'!G3</f>
        <v>FY25A</v>
      </c>
      <c r="G3" s="80" t="str">
        <f>'[2]3 Model Projected FS'!H3</f>
        <v>FY26E</v>
      </c>
      <c r="H3" s="80" t="str">
        <f>'[2]3 Model Projected FS'!I3</f>
        <v>FY27E</v>
      </c>
    </row>
    <row r="4" spans="2:8">
      <c r="B4" s="1" t="s">
        <v>319</v>
      </c>
      <c r="C4" s="19">
        <f>'[2]3 Model Projected FS'!D9</f>
        <v>0</v>
      </c>
      <c r="D4" s="19">
        <f>'3 Model Projected FS'!E9</f>
        <v>20851.91</v>
      </c>
      <c r="E4" s="19">
        <f>'3 Model Projected FS'!F9</f>
        <v>26710.560000000001</v>
      </c>
      <c r="F4" s="19">
        <f>'3 Model Projected FS'!G9</f>
        <v>30475.33</v>
      </c>
      <c r="G4" s="19">
        <f>'3 Model Projected FS'!H9</f>
        <v>37803.279999999999</v>
      </c>
      <c r="H4" s="19">
        <f>'3 Model Projected FS'!I9</f>
        <v>46945.27</v>
      </c>
    </row>
    <row r="5" spans="2:8">
      <c r="B5" s="1" t="s">
        <v>18</v>
      </c>
      <c r="D5" s="19">
        <f>'3 Model Projected FS'!E19</f>
        <v>10947.13</v>
      </c>
      <c r="E5" s="19">
        <f>'3 Model Projected FS'!F19</f>
        <v>15751.1</v>
      </c>
      <c r="F5" s="19">
        <f>'3 Model Projected FS'!G19</f>
        <v>18140.52</v>
      </c>
      <c r="G5" s="19">
        <f>'3 Model Projected FS'!H19</f>
        <v>22681.96</v>
      </c>
      <c r="H5" s="19">
        <f>'3 Model Projected FS'!I19</f>
        <v>28214.11</v>
      </c>
    </row>
    <row r="6" spans="2:8">
      <c r="B6" s="1" t="s">
        <v>35</v>
      </c>
      <c r="D6" s="19">
        <f>'3 Model Projected FS'!E36</f>
        <v>5392.75</v>
      </c>
      <c r="E6" s="19">
        <f>'3 Model Projected FS'!F36</f>
        <v>8103.99</v>
      </c>
      <c r="F6" s="19">
        <f>'3 Model Projected FS'!G36</f>
        <v>11061.26</v>
      </c>
      <c r="G6" s="19">
        <f>'3 Model Projected FS'!H36</f>
        <v>13960.68</v>
      </c>
      <c r="H6" s="19">
        <f>'3 Model Projected FS'!I36</f>
        <v>18014.39</v>
      </c>
    </row>
    <row r="7" spans="2:8">
      <c r="B7" s="1" t="s">
        <v>320</v>
      </c>
      <c r="D7" s="19">
        <f>'3 Model Projected FS'!E156+'3 Model Projected FS'!E159</f>
        <v>3357.4699999999993</v>
      </c>
      <c r="E7" s="19">
        <f>'3 Model Projected FS'!F156+'3 Model Projected FS'!F159</f>
        <v>9637.91</v>
      </c>
      <c r="F7" s="19">
        <f>'3 Model Projected FS'!G156+'3 Model Projected FS'!G159</f>
        <v>8911.3600000000024</v>
      </c>
      <c r="G7" s="19">
        <f>'3 Model Projected FS'!H156+'3 Model Projected FS'!H159</f>
        <v>12985.298003326165</v>
      </c>
      <c r="H7" s="19">
        <f>'3 Model Projected FS'!I156+'3 Model Projected FS'!I159</f>
        <v>16414.469726157709</v>
      </c>
    </row>
    <row r="8" spans="2:8">
      <c r="B8" s="4" t="s">
        <v>321</v>
      </c>
      <c r="C8" s="4"/>
      <c r="D8" s="19"/>
      <c r="E8" s="19"/>
      <c r="F8" s="19"/>
      <c r="G8" s="19"/>
      <c r="H8" s="19"/>
    </row>
    <row r="9" spans="2:8">
      <c r="B9" s="1" t="s">
        <v>322</v>
      </c>
      <c r="C9" s="19">
        <f>'[2]PP&amp;E'!J13+'[2]Intangible Assets'!M13</f>
        <v>0</v>
      </c>
      <c r="D9" s="19">
        <f>'Summary_3 Model Projected FS'!E37+'Summary_3 Model Projected FS'!E38+'Summary_3 Model Projected FS'!E39+'Summary_3 Model Projected FS'!E40+'Summary_3 Model Projected FS'!E41+'Summary_3 Model Projected FS'!E42</f>
        <v>79652.219999999987</v>
      </c>
      <c r="E9" s="19">
        <f>'Summary_3 Model Projected FS'!F37+'Summary_3 Model Projected FS'!F38+'Summary_3 Model Projected FS'!F39+'Summary_3 Model Projected FS'!F40+'Summary_3 Model Projected FS'!F41+'Summary_3 Model Projected FS'!F42</f>
        <v>86083.900000000009</v>
      </c>
      <c r="F9" s="19">
        <f>'Summary_3 Model Projected FS'!G37+'Summary_3 Model Projected FS'!G38+'Summary_3 Model Projected FS'!G39+'Summary_3 Model Projected FS'!G40+'Summary_3 Model Projected FS'!G41+'Summary_3 Model Projected FS'!G42</f>
        <v>101208.51000000001</v>
      </c>
      <c r="G9" s="19">
        <f>'Summary_3 Model Projected FS'!H37+'Summary_3 Model Projected FS'!H38+'Summary_3 Model Projected FS'!H39+'Summary_3 Model Projected FS'!H40+'Summary_3 Model Projected FS'!H41+'Summary_3 Model Projected FS'!H42</f>
        <v>98388.027497558651</v>
      </c>
      <c r="H9" s="19">
        <f>'Summary_3 Model Projected FS'!I37+'Summary_3 Model Projected FS'!I38+'Summary_3 Model Projected FS'!I39+'Summary_3 Model Projected FS'!I40+'Summary_3 Model Projected FS'!I41+'Summary_3 Model Projected FS'!I42</f>
        <v>111399.55200262231</v>
      </c>
    </row>
    <row r="10" spans="2:8">
      <c r="B10" s="20" t="s">
        <v>323</v>
      </c>
      <c r="C10" s="194" t="e">
        <f>ROUND(C4/AVERAGE(B9:C9),1)</f>
        <v>#DIV/0!</v>
      </c>
      <c r="D10" s="194">
        <f>ROUND(D4/AVERAGE(C9:D9),1)</f>
        <v>0.5</v>
      </c>
      <c r="E10" s="194">
        <f t="shared" ref="E10:G10" si="0">ROUND(E4/AVERAGE(D9:E9),1)</f>
        <v>0.3</v>
      </c>
      <c r="F10" s="194">
        <f>ROUND(F4/AVERAGE(E9:F9),1)</f>
        <v>0.3</v>
      </c>
      <c r="G10" s="194">
        <f t="shared" si="0"/>
        <v>0.4</v>
      </c>
      <c r="H10" s="194">
        <f>ROUND(H4/AVERAGE(G9:H9),1)</f>
        <v>0.4</v>
      </c>
    </row>
    <row r="11" spans="2:8">
      <c r="B11" s="20" t="s">
        <v>324</v>
      </c>
      <c r="C11" s="20"/>
      <c r="D11" s="194">
        <f>ROUND(SUM('3 Model Projected FS'!E11:E13)/AVERAGE('3 Model Projected FS'!D63:E63),1)</f>
        <v>13.3</v>
      </c>
      <c r="E11" s="194">
        <f>ROUND(SUM('3 Model Projected FS'!F11:F13)/AVERAGE('3 Model Projected FS'!E63:F63),1)</f>
        <v>16</v>
      </c>
      <c r="F11" s="194">
        <f>ROUND(SUM('3 Model Projected FS'!G11:G13)/AVERAGE('3 Model Projected FS'!F63:G63),1)</f>
        <v>16.8</v>
      </c>
      <c r="G11" s="194">
        <f>ROUND(SUM('3 Model Projected FS'!H11:H13)/AVERAGE('3 Model Projected FS'!G63:H63),1)</f>
        <v>17.399999999999999</v>
      </c>
      <c r="H11" s="194">
        <f>ROUND(SUM('3 Model Projected FS'!I11:I13)/AVERAGE('3 Model Projected FS'!H63:I63),1)</f>
        <v>17.5</v>
      </c>
    </row>
    <row r="12" spans="2:8">
      <c r="B12" s="20" t="s">
        <v>325</v>
      </c>
      <c r="C12" s="20"/>
      <c r="D12" s="194">
        <f>ROUND('3 Model Projected FS'!E9/AVERAGE('3 Model Projected FS'!D66:E66),1)</f>
        <v>7.6</v>
      </c>
      <c r="E12" s="194">
        <f>ROUND('3 Model Projected FS'!F9/AVERAGE('3 Model Projected FS'!E66:F66),1)</f>
        <v>7.7</v>
      </c>
      <c r="F12" s="194">
        <f>ROUND('3 Model Projected FS'!G9/AVERAGE('3 Model Projected FS'!F66:G66),1)</f>
        <v>7.5</v>
      </c>
      <c r="G12" s="194">
        <f>ROUND('3 Model Projected FS'!H9/AVERAGE('3 Model Projected FS'!G66:H66),1)</f>
        <v>8</v>
      </c>
      <c r="H12" s="194">
        <f>ROUND('3 Model Projected FS'!I9/AVERAGE('3 Model Projected FS'!H66:I66),1)</f>
        <v>8.5</v>
      </c>
    </row>
    <row r="13" spans="2:8">
      <c r="B13" s="195" t="s">
        <v>326</v>
      </c>
      <c r="D13" s="19"/>
      <c r="E13" s="19"/>
      <c r="F13" s="19"/>
      <c r="G13" s="19"/>
      <c r="H13" s="19"/>
    </row>
    <row r="14" spans="2:8">
      <c r="B14" s="20" t="s">
        <v>193</v>
      </c>
      <c r="D14" s="183">
        <f>'3 Model Projected FS'!E20</f>
        <v>0.52500000000000002</v>
      </c>
      <c r="E14" s="183">
        <f>'3 Model Projected FS'!F20</f>
        <v>0.59</v>
      </c>
      <c r="F14" s="183">
        <f>'3 Model Projected FS'!G20</f>
        <v>0.59499999999999997</v>
      </c>
      <c r="G14" s="183">
        <f>'3 Model Projected FS'!H20</f>
        <v>0.6</v>
      </c>
      <c r="H14" s="183">
        <f>'3 Model Projected FS'!I20</f>
        <v>0.60099999999999998</v>
      </c>
    </row>
    <row r="15" spans="2:8">
      <c r="B15" s="20" t="s">
        <v>215</v>
      </c>
      <c r="D15" s="183">
        <f>'3 Model Projected FS'!E37</f>
        <v>0.25900000000000001</v>
      </c>
      <c r="E15" s="183">
        <f>'3 Model Projected FS'!F37</f>
        <v>0.30299999999999999</v>
      </c>
      <c r="F15" s="183">
        <f>'3 Model Projected FS'!G37</f>
        <v>0.36299999999999999</v>
      </c>
      <c r="G15" s="183">
        <f>'3 Model Projected FS'!H37</f>
        <v>0.36899999999999999</v>
      </c>
      <c r="H15" s="183">
        <f>'3 Model Projected FS'!I37</f>
        <v>0.38400000000000001</v>
      </c>
    </row>
    <row r="16" spans="2:8">
      <c r="B16" s="23" t="s">
        <v>327</v>
      </c>
      <c r="D16" s="19">
        <f>'3 Model Projected FS'!E66</f>
        <v>3241.67</v>
      </c>
      <c r="E16" s="19">
        <f>'3 Model Projected FS'!F66</f>
        <v>3666.94</v>
      </c>
      <c r="F16" s="19">
        <f>'3 Model Projected FS'!G66</f>
        <v>4432.3599999999997</v>
      </c>
      <c r="G16" s="19">
        <f>'3 Model Projected FS'!H66</f>
        <v>4971.3900000000003</v>
      </c>
      <c r="H16" s="19">
        <f>'3 Model Projected FS'!I66</f>
        <v>6045.01</v>
      </c>
    </row>
    <row r="17" spans="2:8">
      <c r="B17" s="23" t="s">
        <v>328</v>
      </c>
      <c r="D17" s="19">
        <f>Scenarios!H311</f>
        <v>48</v>
      </c>
      <c r="E17" s="19">
        <f>Scenarios!I311</f>
        <v>47</v>
      </c>
      <c r="F17" s="19">
        <f>Scenarios!J311</f>
        <v>49</v>
      </c>
      <c r="G17" s="19">
        <f>Scenarios!K311</f>
        <v>48</v>
      </c>
      <c r="H17" s="19">
        <f>Scenarios!L311</f>
        <v>47</v>
      </c>
    </row>
    <row r="18" spans="2:8">
      <c r="B18" s="23" t="s">
        <v>329</v>
      </c>
      <c r="D18" s="19">
        <f>SUM('3 Model Projected FS'!E103:E104)</f>
        <v>1828.23</v>
      </c>
      <c r="E18" s="19">
        <f>SUM('3 Model Projected FS'!F103:F104)</f>
        <v>1912.1</v>
      </c>
      <c r="F18" s="19">
        <f>SUM('3 Model Projected FS'!G103:G104)</f>
        <v>2720.5</v>
      </c>
      <c r="G18" s="19">
        <f>SUM('3 Model Projected FS'!H103:H104)</f>
        <v>2772.06</v>
      </c>
      <c r="H18" s="19">
        <f>SUM('3 Model Projected FS'!I103:I104)</f>
        <v>3487.71</v>
      </c>
    </row>
    <row r="19" spans="2:8">
      <c r="B19" s="23" t="s">
        <v>330</v>
      </c>
      <c r="D19" s="19">
        <f>ROUND(SUM(Scenarios!H318,Scenarios!H324),0)</f>
        <v>97</v>
      </c>
      <c r="E19" s="19">
        <f>ROUND(SUM(Scenarios!I318,Scenarios!I324),0)</f>
        <v>95</v>
      </c>
      <c r="F19" s="19">
        <f>ROUND(SUM(Scenarios!J318,Scenarios!J324),0)</f>
        <v>105</v>
      </c>
      <c r="G19" s="19">
        <f>ROUND(SUM(Scenarios!K318,Scenarios!K324),0)</f>
        <v>101</v>
      </c>
      <c r="H19" s="19">
        <f>ROUND(SUM(Scenarios!L318,Scenarios!L324),0)</f>
        <v>104</v>
      </c>
    </row>
    <row r="20" spans="2:8">
      <c r="B20" s="23" t="s">
        <v>58</v>
      </c>
      <c r="D20" s="19">
        <f>'3 Model Projected FS'!E63</f>
        <v>451.97</v>
      </c>
      <c r="E20" s="19">
        <f>'3 Model Projected FS'!F63</f>
        <v>437.51</v>
      </c>
      <c r="F20" s="19">
        <f>'3 Model Projected FS'!G63</f>
        <v>521.79999999999995</v>
      </c>
      <c r="G20" s="19">
        <f>'3 Model Projected FS'!H63</f>
        <v>631.26</v>
      </c>
      <c r="H20" s="19">
        <f>'3 Model Projected FS'!I63</f>
        <v>775.05</v>
      </c>
    </row>
    <row r="21" spans="2:8">
      <c r="B21" s="23" t="s">
        <v>331</v>
      </c>
      <c r="D21" s="19">
        <f>Scenarios!H305</f>
        <v>27</v>
      </c>
      <c r="E21" s="19">
        <f>Scenarios!I305</f>
        <v>23</v>
      </c>
      <c r="F21" s="19">
        <f>Scenarios!J305</f>
        <v>22</v>
      </c>
      <c r="G21" s="19">
        <f>Scenarios!K305</f>
        <v>23</v>
      </c>
      <c r="H21" s="19">
        <f>Scenarios!L305</f>
        <v>23</v>
      </c>
    </row>
    <row r="22" spans="2:8">
      <c r="B22" s="195" t="s">
        <v>332</v>
      </c>
      <c r="D22" s="19"/>
      <c r="E22" s="19"/>
      <c r="F22" s="19"/>
      <c r="G22" s="19"/>
      <c r="H22" s="19"/>
    </row>
    <row r="23" spans="2:8">
      <c r="B23" s="20" t="s">
        <v>222</v>
      </c>
      <c r="C23" s="183">
        <f>ROUND('[2]3 Model Projected FS'!D22/AVERAGE(SUM('[2]3 Model Projected FS'!C84,'[2]3 Model Projected FS'!C88,'[2]3 Model Projected FS'!C100),SUM('[2]3 Model Projected FS'!D84,'[2]3 Model Projected FS'!D88,'[2]3 Model Projected FS'!D100)),3)</f>
        <v>0</v>
      </c>
      <c r="D23" s="183">
        <f>ROUND('3 Model Projected FS'!E22/AVERAGE(SUM('3 Model Projected FS'!D84,'3 Model Projected FS'!D88,'3 Model Projected FS'!D100),SUM('3 Model Projected FS'!E84,'3 Model Projected FS'!E88,'3 Model Projected FS'!E100)),3)</f>
        <v>8.2000000000000003E-2</v>
      </c>
      <c r="E23" s="183">
        <f>ROUND('3 Model Projected FS'!F22/AVERAGE(SUM('3 Model Projected FS'!E84,'3 Model Projected FS'!E88,'3 Model Projected FS'!E100),SUM('3 Model Projected FS'!F84,'3 Model Projected FS'!F88,'3 Model Projected FS'!F100)),3)</f>
        <v>0.12</v>
      </c>
      <c r="F23" s="183">
        <f>ROUND('3 Model Projected FS'!G22/AVERAGE(SUM('3 Model Projected FS'!F84,'3 Model Projected FS'!F88,'3 Model Projected FS'!F100),SUM('3 Model Projected FS'!G84,'3 Model Projected FS'!G88,'3 Model Projected FS'!G100)),3)</f>
        <v>0.13</v>
      </c>
      <c r="G23" s="183">
        <f>ROUND('3 Model Projected FS'!H22/AVERAGE(SUM('3 Model Projected FS'!G84,'3 Model Projected FS'!G88,'3 Model Projected FS'!G100),SUM('3 Model Projected FS'!H84,'3 Model Projected FS'!H88,'3 Model Projected FS'!H100)),3)</f>
        <v>0.155</v>
      </c>
      <c r="H23" s="183">
        <f>ROUND('3 Model Projected FS'!I22/AVERAGE(SUM('3 Model Projected FS'!H84,'3 Model Projected FS'!H88,'3 Model Projected FS'!H100),SUM('3 Model Projected FS'!I84,'3 Model Projected FS'!I88,'3 Model Projected FS'!I100)),3)</f>
        <v>0.17699999999999999</v>
      </c>
    </row>
    <row r="24" spans="2:8">
      <c r="B24" s="20" t="s">
        <v>223</v>
      </c>
      <c r="C24" s="183">
        <f>ROUND('[2]3 Model Projected FS'!D39/AVERAGE('[2]3 Model Projected FS'!C82:D82),3)</f>
        <v>0.28599999999999998</v>
      </c>
      <c r="D24" s="183">
        <f>ROUND('3 Model Projected FS'!E39/AVERAGE('3 Model Projected FS'!D82:E82),3)</f>
        <v>0.121</v>
      </c>
      <c r="E24" s="183">
        <f>ROUND('3 Model Projected FS'!F39/AVERAGE('3 Model Projected FS'!E82:F82),3)</f>
        <v>0.16500000000000001</v>
      </c>
      <c r="F24" s="183">
        <f>ROUND('3 Model Projected FS'!G39/AVERAGE('3 Model Projected FS'!F82:G82),3)</f>
        <v>0.192</v>
      </c>
      <c r="G24" s="183">
        <f>ROUND('3 Model Projected FS'!H39/AVERAGE('3 Model Projected FS'!G82:H82),3)</f>
        <v>0.22900000000000001</v>
      </c>
      <c r="H24" s="183">
        <f>ROUND('3 Model Projected FS'!I39/AVERAGE('3 Model Projected FS'!H82:I82),3)</f>
        <v>0.26600000000000001</v>
      </c>
    </row>
    <row r="25" spans="2:8">
      <c r="B25" s="1" t="s">
        <v>333</v>
      </c>
      <c r="D25" s="194">
        <f>ROUND(SUM('3 Model Projected FS'!E88,'3 Model Projected FS'!E100)/'3 Model Projected FS'!E82,1)</f>
        <v>1.1000000000000001</v>
      </c>
      <c r="E25" s="194">
        <f>ROUND(SUM('3 Model Projected FS'!F88,'3 Model Projected FS'!F100)/'3 Model Projected FS'!F82,1)</f>
        <v>0.9</v>
      </c>
      <c r="F25" s="194">
        <f>ROUND(SUM('3 Model Projected FS'!G88,'3 Model Projected FS'!G100)/'3 Model Projected FS'!G82,1)</f>
        <v>0.7</v>
      </c>
      <c r="G25" s="194">
        <f>ROUND(SUM('3 Model Projected FS'!H88,'3 Model Projected FS'!H100)/'3 Model Projected FS'!H82,1)</f>
        <v>0.9</v>
      </c>
      <c r="H25" s="194">
        <f>ROUND(SUM('3 Model Projected FS'!I88,'3 Model Projected FS'!I100)/'3 Model Projected FS'!I82,1)</f>
        <v>0.8</v>
      </c>
    </row>
    <row r="26" spans="2:8">
      <c r="B26" s="1" t="s">
        <v>334</v>
      </c>
      <c r="D26" s="194">
        <f>ROUND(('3 Model Projected FS'!E88+'3 Model Projected FS'!E100-'3 Model Projected FS'!E67-'3 Model Projected FS'!E68)/D5,1)</f>
        <v>4.2</v>
      </c>
      <c r="E26" s="194">
        <f>ROUND(('3 Model Projected FS'!F88+'3 Model Projected FS'!F100-'3 Model Projected FS'!F67-'3 Model Projected FS'!F68)/E5,1)</f>
        <v>2.5</v>
      </c>
      <c r="F26" s="194">
        <f>ROUND(('3 Model Projected FS'!G88+'3 Model Projected FS'!G100-'3 Model Projected FS'!G67-'3 Model Projected FS'!G68)/F5,1)</f>
        <v>2.2000000000000002</v>
      </c>
      <c r="G26" s="194">
        <f>ROUND(('3 Model Projected FS'!H88+'3 Model Projected FS'!H100-'3 Model Projected FS'!H67-'3 Model Projected FS'!H68)/G5,1)</f>
        <v>1.6</v>
      </c>
      <c r="H26" s="194">
        <f>ROUND(('3 Model Projected FS'!I88+'3 Model Projected FS'!I100-'3 Model Projected FS'!I67-'3 Model Projected FS'!I68)/H5,1)</f>
        <v>1.2</v>
      </c>
    </row>
    <row r="27" spans="2:8">
      <c r="B27" s="195" t="s">
        <v>335</v>
      </c>
    </row>
    <row r="28" spans="2:8">
      <c r="B28" s="20" t="s">
        <v>336</v>
      </c>
      <c r="D28" s="194">
        <f>ROUND(Scenarios!H391/Scenarios!H395,1)</f>
        <v>25.7</v>
      </c>
      <c r="E28" s="194">
        <f>ROUND(Scenarios!I391/Scenarios!I395,1)</f>
        <v>36.6</v>
      </c>
      <c r="F28" s="194">
        <f>ROUND(Scenarios!J391/Scenarios!J395,1)</f>
        <v>22.9</v>
      </c>
      <c r="G28" s="194">
        <f>ROUND(Scenarios!K391/Scenarios!K395,1)</f>
        <v>26.9</v>
      </c>
      <c r="H28" s="194">
        <f>ROUND(Scenarios!L391/Scenarios!L395,1)</f>
        <v>26.9</v>
      </c>
    </row>
    <row r="29" spans="2:8">
      <c r="B29" s="20" t="s">
        <v>337</v>
      </c>
      <c r="D29" s="1">
        <f>ROUND(Scenarios!H391/Scenarios!H394,1)</f>
        <v>3</v>
      </c>
      <c r="E29" s="1">
        <f>ROUND(Scenarios!I391/Scenarios!I394,1)</f>
        <v>5.6</v>
      </c>
      <c r="F29" s="1">
        <f>ROUND(Scenarios!J391/Scenarios!J394,1)</f>
        <v>4.0999999999999996</v>
      </c>
      <c r="G29" s="1">
        <f>ROUND(Scenarios!K391/Scenarios!K394,1)</f>
        <v>6.3</v>
      </c>
      <c r="H29" s="1">
        <f>ROUND(Scenarios!L391/Scenarios!L394,1)</f>
        <v>6.4</v>
      </c>
    </row>
    <row r="30" spans="2:8">
      <c r="B30" s="195" t="s">
        <v>338</v>
      </c>
    </row>
    <row r="31" spans="2:8">
      <c r="B31" s="20" t="s">
        <v>339</v>
      </c>
      <c r="D31" s="194">
        <f>ROUND(Scenarios!H401/'3 Model Projected FS'!E19,1)</f>
        <v>16.600000000000001</v>
      </c>
      <c r="E31" s="194">
        <f>ROUND(Scenarios!I401/'3 Model Projected FS'!F19,1)</f>
        <v>21.3</v>
      </c>
      <c r="F31" s="194">
        <f>ROUND(Scenarios!J401/'3 Model Projected FS'!G19,1)</f>
        <v>16.100000000000001</v>
      </c>
      <c r="G31" s="194">
        <f>ROUND(Scenarios!K401/'3 Model Projected FS'!H19,1)</f>
        <v>18.3</v>
      </c>
      <c r="H31" s="194">
        <f>ROUND(Scenarios!L401/'3 Model Projected FS'!I19,1)</f>
        <v>18.5</v>
      </c>
    </row>
    <row r="32" spans="2:8">
      <c r="B32" s="20" t="s">
        <v>340</v>
      </c>
      <c r="D32" s="194">
        <f>ROUND(Scenarios!H401/'3 Model Projected FS'!E9,1)</f>
        <v>8.6999999999999993</v>
      </c>
      <c r="E32" s="194">
        <f>ROUND(Scenarios!I401/'3 Model Projected FS'!F9,1)</f>
        <v>12.6</v>
      </c>
      <c r="F32" s="194">
        <f>ROUND(Scenarios!J401/'3 Model Projected FS'!G9,1)</f>
        <v>9.6</v>
      </c>
      <c r="G32" s="194">
        <f>ROUND(Scenarios!K401/'3 Model Projected FS'!H9,1)</f>
        <v>11</v>
      </c>
      <c r="H32" s="194">
        <f>ROUND(Scenarios!L401/'3 Model Projected FS'!I9,1)</f>
        <v>11.1</v>
      </c>
    </row>
    <row r="33" spans="2:8">
      <c r="B33" s="195" t="s">
        <v>341</v>
      </c>
    </row>
    <row r="34" spans="2:8">
      <c r="B34" s="20" t="s">
        <v>342</v>
      </c>
      <c r="D34" s="183">
        <f>ROUND(Scenarios!H393/'3 Model Projected FS'!E39,3)</f>
        <v>0.20300000000000001</v>
      </c>
      <c r="E34" s="183">
        <f>ROUND(Scenarios!I393/'3 Model Projected FS'!F39,3)</f>
        <v>0.16</v>
      </c>
      <c r="F34" s="183">
        <f>ROUND(Scenarios!J393/'3 Model Projected FS'!G39,3)</f>
        <v>0.14000000000000001</v>
      </c>
      <c r="G34" s="183">
        <f>ROUND(Scenarios!K393/'3 Model Projected FS'!H39,3)</f>
        <v>0.15</v>
      </c>
      <c r="H34" s="183">
        <f>ROUND(Scenarios!L393/'3 Model Projected FS'!I39,3)</f>
        <v>0.155</v>
      </c>
    </row>
    <row r="35" spans="2:8">
      <c r="B35" s="20" t="s">
        <v>343</v>
      </c>
      <c r="D35" s="74">
        <f>ROUND(Scenarios!H396/Scenarios!H391,4)</f>
        <v>7.9000000000000008E-3</v>
      </c>
      <c r="E35" s="74">
        <f>ROUND(Scenarios!I396/Scenarios!I391,4)</f>
        <v>4.4000000000000003E-3</v>
      </c>
      <c r="F35" s="74">
        <f>ROUND(Scenarios!J396/Scenarios!J391,4)</f>
        <v>6.1000000000000004E-3</v>
      </c>
      <c r="G35" s="74">
        <f>ROUND(Scenarios!K396/Scenarios!K391,4)</f>
        <v>5.5999999999999999E-3</v>
      </c>
      <c r="H35" s="74">
        <f>ROUND(Scenarios!L396/Scenarios!L391,4)</f>
        <v>5.7000000000000002E-3</v>
      </c>
    </row>
  </sheetData>
  <pageMargins left="0.7" right="0.7" top="0.75" bottom="0.75" header="0.3" footer="0.3"/>
  <pageSetup paperSize="9" orientation="portrait"/>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0316E-22FA-45EE-8FEC-DE8375761CF1}">
  <sheetPr>
    <pageSetUpPr autoPageBreaks="0"/>
  </sheetPr>
  <dimension ref="A1:Q53"/>
  <sheetViews>
    <sheetView showGridLines="0" zoomScale="110" zoomScaleNormal="110" workbookViewId="0">
      <selection activeCell="M17" sqref="M17"/>
    </sheetView>
  </sheetViews>
  <sheetFormatPr defaultColWidth="8.85546875" defaultRowHeight="15"/>
  <cols>
    <col min="1" max="1" width="8.85546875" style="96"/>
    <col min="2" max="2" width="26.7109375" style="96" bestFit="1" customWidth="1"/>
    <col min="3" max="11" width="9.5703125" style="96" customWidth="1"/>
    <col min="12" max="12" width="9.5703125" style="96" bestFit="1" customWidth="1"/>
    <col min="13" max="13" width="8.85546875" style="96"/>
    <col min="14" max="14" width="22.5703125" style="96" customWidth="1"/>
    <col min="15" max="17" width="19" style="96" customWidth="1"/>
    <col min="18" max="16384" width="8.85546875" style="96"/>
  </cols>
  <sheetData>
    <row r="1" spans="1:13" ht="21">
      <c r="A1" s="202" t="s">
        <v>344</v>
      </c>
      <c r="K1" s="335" t="str">
        <f>Scenarios!L1</f>
        <v>Currently Running: Base Case Scenario</v>
      </c>
    </row>
    <row r="3" spans="1:13" ht="16.149999999999999" customHeight="1">
      <c r="B3" s="203" t="s">
        <v>345</v>
      </c>
      <c r="C3" s="204"/>
      <c r="D3" s="338" t="s">
        <v>346</v>
      </c>
      <c r="E3" s="205"/>
      <c r="F3" s="337"/>
      <c r="G3" s="228" t="s">
        <v>347</v>
      </c>
      <c r="H3" s="206"/>
      <c r="I3" s="204"/>
      <c r="J3" s="228" t="s">
        <v>348</v>
      </c>
      <c r="K3" s="206"/>
    </row>
    <row r="4" spans="1:13" ht="16.149999999999999" customHeight="1">
      <c r="A4" s="96" t="s">
        <v>282</v>
      </c>
      <c r="B4" s="207" t="s">
        <v>349</v>
      </c>
      <c r="C4" s="207"/>
      <c r="D4" s="208"/>
      <c r="E4" s="209"/>
      <c r="F4" s="210"/>
      <c r="G4" s="210"/>
      <c r="H4" s="210"/>
      <c r="I4" s="207"/>
      <c r="J4" s="208"/>
      <c r="K4" s="209"/>
    </row>
    <row r="5" spans="1:13" ht="39.75" customHeight="1">
      <c r="B5" s="212" t="s">
        <v>350</v>
      </c>
      <c r="C5" s="213"/>
      <c r="D5" s="334" t="s">
        <v>351</v>
      </c>
      <c r="E5" s="214"/>
      <c r="F5" s="213"/>
      <c r="G5" s="334" t="s">
        <v>352</v>
      </c>
      <c r="H5" s="214"/>
      <c r="I5" s="213"/>
      <c r="J5" s="334" t="s">
        <v>353</v>
      </c>
      <c r="K5" s="214"/>
    </row>
    <row r="6" spans="1:13" ht="48.75" customHeight="1">
      <c r="B6" s="215" t="s">
        <v>354</v>
      </c>
      <c r="C6" s="216"/>
      <c r="D6" s="336" t="s">
        <v>355</v>
      </c>
      <c r="E6" s="217"/>
      <c r="F6" s="216"/>
      <c r="G6" s="336" t="s">
        <v>356</v>
      </c>
      <c r="H6" s="217"/>
      <c r="I6" s="216"/>
      <c r="J6" s="336" t="s">
        <v>357</v>
      </c>
      <c r="K6" s="217"/>
    </row>
    <row r="7" spans="1:13" ht="16.149999999999999" customHeight="1">
      <c r="B7" s="218" t="s">
        <v>358</v>
      </c>
      <c r="C7" s="219"/>
      <c r="D7" s="336" t="s">
        <v>359</v>
      </c>
      <c r="E7" s="220"/>
      <c r="F7" s="219"/>
      <c r="G7" s="336" t="s">
        <v>360</v>
      </c>
      <c r="H7" s="221"/>
      <c r="I7" s="219"/>
      <c r="J7" s="336" t="s">
        <v>361</v>
      </c>
      <c r="K7" s="220"/>
    </row>
    <row r="8" spans="1:13" ht="21" customHeight="1">
      <c r="B8" s="211" t="s">
        <v>362</v>
      </c>
      <c r="C8" s="222"/>
      <c r="D8" s="339" t="s">
        <v>363</v>
      </c>
      <c r="E8" s="223"/>
      <c r="F8" s="224"/>
      <c r="G8" s="339" t="s">
        <v>364</v>
      </c>
      <c r="H8" s="223"/>
      <c r="I8" s="222"/>
      <c r="J8" s="339" t="s">
        <v>365</v>
      </c>
      <c r="K8" s="223"/>
    </row>
    <row r="9" spans="1:13">
      <c r="B9" s="225"/>
      <c r="C9" s="225"/>
      <c r="D9" s="225"/>
      <c r="E9" s="225"/>
      <c r="F9" s="225"/>
      <c r="G9" s="225"/>
      <c r="H9" s="225"/>
      <c r="I9" s="225"/>
      <c r="J9" s="225"/>
      <c r="K9" s="225"/>
    </row>
    <row r="10" spans="1:13">
      <c r="B10" s="226" t="s">
        <v>366</v>
      </c>
      <c r="C10" s="227" t="s">
        <v>367</v>
      </c>
      <c r="D10" s="228" t="s">
        <v>368</v>
      </c>
      <c r="E10" s="228" t="s">
        <v>369</v>
      </c>
      <c r="F10" s="227" t="str">
        <f t="shared" ref="F10:K10" si="0">C10</f>
        <v>FY23</v>
      </c>
      <c r="G10" s="228" t="str">
        <f t="shared" si="0"/>
        <v>FY24</v>
      </c>
      <c r="H10" s="228" t="str">
        <f t="shared" si="0"/>
        <v>FY25</v>
      </c>
      <c r="I10" s="227">
        <v>2022</v>
      </c>
      <c r="J10" s="228">
        <v>2023</v>
      </c>
      <c r="K10" s="363">
        <v>2024</v>
      </c>
    </row>
    <row r="11" spans="1:13">
      <c r="B11" s="229" t="s">
        <v>370</v>
      </c>
      <c r="C11" s="230">
        <f>'Consol. Historical FS'!E9</f>
        <v>20851.91</v>
      </c>
      <c r="D11" s="231">
        <f>'Consol. Historical FS'!F9</f>
        <v>26710.560000000001</v>
      </c>
      <c r="E11" s="232">
        <f>'Consol. Historical FS'!G9</f>
        <v>30475.33</v>
      </c>
      <c r="F11" s="233">
        <v>3195</v>
      </c>
      <c r="G11" s="231">
        <v>3763</v>
      </c>
      <c r="H11" s="232">
        <v>4476</v>
      </c>
      <c r="I11" s="233">
        <v>152412</v>
      </c>
      <c r="J11" s="231">
        <v>162429</v>
      </c>
      <c r="K11" s="234">
        <v>178206</v>
      </c>
    </row>
    <row r="12" spans="1:13">
      <c r="B12" s="235" t="s">
        <v>218</v>
      </c>
      <c r="C12" s="236"/>
      <c r="D12" s="237">
        <f>D11/C11-1</f>
        <v>0.28096466942356857</v>
      </c>
      <c r="E12" s="238">
        <f>E11/D11-1</f>
        <v>0.14094687644137749</v>
      </c>
      <c r="F12" s="239"/>
      <c r="G12" s="237">
        <f>G11/F11-1</f>
        <v>0.17777777777777781</v>
      </c>
      <c r="H12" s="238">
        <f>H11/G11-1</f>
        <v>0.18947648153069352</v>
      </c>
      <c r="I12" s="239"/>
      <c r="J12" s="237">
        <f>J11/I11-1</f>
        <v>6.5723171403826441E-2</v>
      </c>
      <c r="K12" s="238">
        <f>K11/J11-1</f>
        <v>9.713166983728283E-2</v>
      </c>
      <c r="M12" s="382">
        <f>L12*89*1000/10000000</f>
        <v>0</v>
      </c>
    </row>
    <row r="13" spans="1:13" ht="3" customHeight="1">
      <c r="B13" s="240"/>
      <c r="C13" s="241"/>
      <c r="D13" s="242"/>
      <c r="E13" s="243"/>
      <c r="F13" s="241"/>
      <c r="G13" s="242"/>
      <c r="H13" s="242"/>
      <c r="I13" s="241"/>
      <c r="J13" s="242"/>
      <c r="K13" s="242"/>
    </row>
    <row r="14" spans="1:13">
      <c r="B14" s="244" t="s">
        <v>371</v>
      </c>
      <c r="C14" s="245">
        <f>'Consol. Historical FS'!E13</f>
        <v>15197.35</v>
      </c>
      <c r="D14" s="246">
        <f>'Consol. Historical FS'!F13</f>
        <v>19594.22</v>
      </c>
      <c r="E14" s="247">
        <f>'Consol. Historical FS'!G13</f>
        <v>22405.58</v>
      </c>
      <c r="F14" s="248">
        <f>F11*0.6223</f>
        <v>1988.2484999999999</v>
      </c>
      <c r="G14" s="246">
        <f>G11*0.6389</f>
        <v>2404.1806999999999</v>
      </c>
      <c r="H14" s="249">
        <f>H11*0.6105</f>
        <v>2732.5980000000004</v>
      </c>
      <c r="I14" s="246">
        <v>45728</v>
      </c>
      <c r="J14" s="246">
        <v>48396</v>
      </c>
      <c r="K14" s="249">
        <v>53540</v>
      </c>
    </row>
    <row r="15" spans="1:13">
      <c r="B15" s="235" t="s">
        <v>219</v>
      </c>
      <c r="C15" s="236"/>
      <c r="D15" s="237">
        <f>D14/C14-1</f>
        <v>0.2893182035025843</v>
      </c>
      <c r="E15" s="238">
        <f>E14/D14-1</f>
        <v>0.14347904637183828</v>
      </c>
      <c r="F15" s="239"/>
      <c r="G15" s="237">
        <f>G14/F14-1</f>
        <v>0.20919527916153347</v>
      </c>
      <c r="H15" s="238">
        <f>H14/G14-1</f>
        <v>0.13660258565423167</v>
      </c>
      <c r="I15" s="251"/>
      <c r="J15" s="237">
        <f>J14/I14-1</f>
        <v>5.8344996501049629E-2</v>
      </c>
      <c r="K15" s="238">
        <f>K14/J14-1</f>
        <v>0.1062897760145467</v>
      </c>
    </row>
    <row r="16" spans="1:13" ht="3" customHeight="1">
      <c r="B16" s="252"/>
      <c r="C16" s="241"/>
      <c r="D16" s="242"/>
      <c r="E16" s="242"/>
      <c r="F16" s="241"/>
      <c r="G16" s="242"/>
      <c r="H16" s="242"/>
      <c r="I16" s="241"/>
      <c r="J16" s="242"/>
      <c r="K16" s="243"/>
    </row>
    <row r="17" spans="2:11">
      <c r="B17" s="253" t="s">
        <v>372</v>
      </c>
      <c r="C17" s="248">
        <f>'Consol. Historical FS'!E17</f>
        <v>10947.13</v>
      </c>
      <c r="D17" s="250">
        <f>'Consol. Historical FS'!F17</f>
        <v>15751.1</v>
      </c>
      <c r="E17" s="249">
        <f>'Consol. Historical FS'!G17</f>
        <v>18140.52</v>
      </c>
      <c r="F17" s="254">
        <v>1623</v>
      </c>
      <c r="G17" s="255">
        <v>1968</v>
      </c>
      <c r="H17" s="256">
        <v>2262</v>
      </c>
      <c r="I17" s="246">
        <v>42457</v>
      </c>
      <c r="J17" s="255">
        <v>43891</v>
      </c>
      <c r="K17" s="256">
        <v>46903</v>
      </c>
    </row>
    <row r="18" spans="2:11">
      <c r="B18" s="257" t="s">
        <v>220</v>
      </c>
      <c r="C18" s="236"/>
      <c r="D18" s="237">
        <f>D17/C17-1</f>
        <v>0.43883373998481812</v>
      </c>
      <c r="E18" s="258">
        <f>E17/D17-1</f>
        <v>0.15169861152554431</v>
      </c>
      <c r="F18" s="251"/>
      <c r="G18" s="237">
        <f>G17/F17-1</f>
        <v>0.21256931608133089</v>
      </c>
      <c r="H18" s="238">
        <f>H17/G17-1</f>
        <v>0.14939024390243905</v>
      </c>
      <c r="I18" s="251"/>
      <c r="J18" s="237">
        <f>J17/I17-1</f>
        <v>3.377534917681424E-2</v>
      </c>
      <c r="K18" s="238">
        <f>K17/J17-1</f>
        <v>6.8624547173680162E-2</v>
      </c>
    </row>
    <row r="19" spans="2:11" ht="3" customHeight="1">
      <c r="B19" s="259"/>
      <c r="C19" s="241"/>
      <c r="D19" s="242"/>
      <c r="E19" s="243"/>
      <c r="F19" s="241"/>
      <c r="G19" s="242"/>
      <c r="H19" s="242"/>
      <c r="I19" s="241"/>
      <c r="J19" s="242"/>
      <c r="K19" s="243"/>
    </row>
    <row r="20" spans="2:11">
      <c r="B20" s="260" t="s">
        <v>373</v>
      </c>
      <c r="C20" s="248">
        <f>'Consol. Historical FS'!E34</f>
        <v>5392.75</v>
      </c>
      <c r="D20" s="250">
        <f>'Consol. Historical FS'!F34</f>
        <v>8103.99</v>
      </c>
      <c r="E20" s="249">
        <f>'Consol. Historical FS'!G34</f>
        <v>11061.26</v>
      </c>
      <c r="F20" s="246">
        <v>750</v>
      </c>
      <c r="G20" s="255">
        <v>1161</v>
      </c>
      <c r="H20" s="261">
        <v>1521</v>
      </c>
      <c r="I20" s="250">
        <v>14488</v>
      </c>
      <c r="J20" s="246">
        <v>11559</v>
      </c>
      <c r="K20" s="249">
        <v>11633</v>
      </c>
    </row>
    <row r="21" spans="2:11">
      <c r="B21" s="235" t="s">
        <v>221</v>
      </c>
      <c r="C21" s="262"/>
      <c r="D21" s="237">
        <f>D20/C20-1</f>
        <v>0.50275647860553518</v>
      </c>
      <c r="E21" s="258">
        <f>E20/D20-1</f>
        <v>0.36491530715116882</v>
      </c>
      <c r="F21" s="239"/>
      <c r="G21" s="237">
        <f>G20/F20-1</f>
        <v>0.54800000000000004</v>
      </c>
      <c r="H21" s="238">
        <f>H20/G20-1</f>
        <v>0.31007751937984507</v>
      </c>
      <c r="I21" s="263"/>
      <c r="J21" s="237">
        <f>J20/I20-1</f>
        <v>-0.20216731087796802</v>
      </c>
      <c r="K21" s="238">
        <f>K20/J20-1</f>
        <v>6.4019378838999774E-3</v>
      </c>
    </row>
    <row r="22" spans="2:11" ht="3" customHeight="1">
      <c r="B22" s="235"/>
      <c r="C22" s="262"/>
      <c r="D22" s="264"/>
      <c r="E22" s="265"/>
      <c r="F22" s="266"/>
      <c r="G22" s="264"/>
      <c r="H22" s="264"/>
      <c r="I22" s="266"/>
      <c r="J22" s="264"/>
      <c r="K22" s="265"/>
    </row>
    <row r="23" spans="2:11">
      <c r="B23" s="267" t="s">
        <v>374</v>
      </c>
      <c r="C23" s="268"/>
      <c r="D23" s="269"/>
      <c r="E23" s="270"/>
      <c r="F23" s="271"/>
      <c r="G23" s="269"/>
      <c r="H23" s="269"/>
      <c r="I23" s="271"/>
      <c r="J23" s="272"/>
      <c r="K23" s="273"/>
    </row>
    <row r="24" spans="2:11">
      <c r="B24" s="274" t="s">
        <v>192</v>
      </c>
      <c r="C24" s="275">
        <f t="shared" ref="C24:K24" si="1">ROUND(C14/C11,3)</f>
        <v>0.72899999999999998</v>
      </c>
      <c r="D24" s="276">
        <f t="shared" si="1"/>
        <v>0.73399999999999999</v>
      </c>
      <c r="E24" s="277">
        <f t="shared" si="1"/>
        <v>0.73499999999999999</v>
      </c>
      <c r="F24" s="275">
        <f t="shared" si="1"/>
        <v>0.622</v>
      </c>
      <c r="G24" s="276">
        <f t="shared" si="1"/>
        <v>0.63900000000000001</v>
      </c>
      <c r="H24" s="277">
        <f t="shared" si="1"/>
        <v>0.61099999999999999</v>
      </c>
      <c r="I24" s="275">
        <f t="shared" si="1"/>
        <v>0.3</v>
      </c>
      <c r="J24" s="276">
        <f t="shared" si="1"/>
        <v>0.29799999999999999</v>
      </c>
      <c r="K24" s="277">
        <f t="shared" si="1"/>
        <v>0.3</v>
      </c>
    </row>
    <row r="25" spans="2:11">
      <c r="B25" s="274" t="s">
        <v>193</v>
      </c>
      <c r="C25" s="278">
        <f t="shared" ref="C25:K25" si="2">ROUND(C17/C11,3)</f>
        <v>0.52500000000000002</v>
      </c>
      <c r="D25" s="279">
        <f t="shared" si="2"/>
        <v>0.59</v>
      </c>
      <c r="E25" s="280">
        <f t="shared" si="2"/>
        <v>0.59499999999999997</v>
      </c>
      <c r="F25" s="278">
        <f t="shared" si="2"/>
        <v>0.50800000000000001</v>
      </c>
      <c r="G25" s="279">
        <f t="shared" si="2"/>
        <v>0.52300000000000002</v>
      </c>
      <c r="H25" s="280">
        <f t="shared" si="2"/>
        <v>0.505</v>
      </c>
      <c r="I25" s="278">
        <f t="shared" si="2"/>
        <v>0.27900000000000003</v>
      </c>
      <c r="J25" s="279">
        <f t="shared" si="2"/>
        <v>0.27</v>
      </c>
      <c r="K25" s="280">
        <f>ROUND(K17/K11,3)</f>
        <v>0.26300000000000001</v>
      </c>
    </row>
    <row r="26" spans="2:11">
      <c r="B26" s="274" t="s">
        <v>215</v>
      </c>
      <c r="C26" s="278">
        <f t="shared" ref="C26:K26" si="3">ROUND(C20/C11,3)</f>
        <v>0.25900000000000001</v>
      </c>
      <c r="D26" s="279">
        <f t="shared" si="3"/>
        <v>0.30299999999999999</v>
      </c>
      <c r="E26" s="280">
        <f t="shared" si="3"/>
        <v>0.36299999999999999</v>
      </c>
      <c r="F26" s="278">
        <f t="shared" si="3"/>
        <v>0.23499999999999999</v>
      </c>
      <c r="G26" s="279">
        <f t="shared" si="3"/>
        <v>0.309</v>
      </c>
      <c r="H26" s="280">
        <f t="shared" si="3"/>
        <v>0.34</v>
      </c>
      <c r="I26" s="278">
        <f t="shared" si="3"/>
        <v>9.5000000000000001E-2</v>
      </c>
      <c r="J26" s="279">
        <f t="shared" si="3"/>
        <v>7.0999999999999994E-2</v>
      </c>
      <c r="K26" s="280">
        <f t="shared" si="3"/>
        <v>6.5000000000000002E-2</v>
      </c>
    </row>
    <row r="27" spans="2:11">
      <c r="B27" s="274" t="s">
        <v>222</v>
      </c>
      <c r="C27" s="278">
        <f>Graphs!D23</f>
        <v>8.2000000000000003E-2</v>
      </c>
      <c r="D27" s="279">
        <f>Graphs!E23</f>
        <v>0.12</v>
      </c>
      <c r="E27" s="280">
        <f>Graphs!F23</f>
        <v>0.13</v>
      </c>
      <c r="F27" s="281">
        <v>0.1678</v>
      </c>
      <c r="G27" s="279">
        <v>0.14069999999999999</v>
      </c>
      <c r="H27" s="282">
        <v>0.1419</v>
      </c>
      <c r="I27" s="281">
        <f>2790479/(46982395-9348683)</f>
        <v>7.4148385894009072E-2</v>
      </c>
      <c r="J27" s="279">
        <f>2870308/(44736097-7393648)</f>
        <v>7.6864482026875097E-2</v>
      </c>
      <c r="K27" s="282">
        <f>3176292/(49671718-8023182)</f>
        <v>7.6264193296014055E-2</v>
      </c>
    </row>
    <row r="28" spans="2:11">
      <c r="B28" s="274" t="s">
        <v>223</v>
      </c>
      <c r="C28" s="283">
        <f>Graphs!D24</f>
        <v>0.121</v>
      </c>
      <c r="D28" s="284">
        <f>Graphs!E24</f>
        <v>0.16500000000000001</v>
      </c>
      <c r="E28" s="285">
        <f>Graphs!F24</f>
        <v>0.192</v>
      </c>
      <c r="F28" s="286">
        <v>0.1852</v>
      </c>
      <c r="G28" s="284">
        <v>0.14399999999999999</v>
      </c>
      <c r="H28" s="287">
        <v>0.155</v>
      </c>
      <c r="I28" s="286">
        <f>1627860/19040092</f>
        <v>8.5496435626466513E-2</v>
      </c>
      <c r="J28" s="284">
        <f>1298726/12325684</f>
        <v>0.10536745871466444</v>
      </c>
      <c r="K28" s="287">
        <f>1307036/13450539</f>
        <v>9.7173503604576744E-2</v>
      </c>
    </row>
    <row r="29" spans="2:11" ht="3" customHeight="1">
      <c r="B29" s="235"/>
      <c r="C29" s="288"/>
      <c r="D29" s="289"/>
      <c r="E29" s="290"/>
      <c r="F29" s="266"/>
      <c r="G29" s="264"/>
      <c r="H29" s="264"/>
      <c r="I29" s="266"/>
      <c r="J29" s="264"/>
      <c r="K29" s="265"/>
    </row>
    <row r="30" spans="2:11">
      <c r="B30" s="211" t="s">
        <v>375</v>
      </c>
      <c r="C30" s="291">
        <f>ROUND(SUM('Consol. Historical FS'!E85,'Consol. Historical FS'!E97),2)</f>
        <v>49819.31</v>
      </c>
      <c r="D30" s="292">
        <f>ROUND(SUM('Consol. Historical FS'!F85,'Consol. Historical FS'!F97),2)</f>
        <v>46279.23</v>
      </c>
      <c r="E30" s="293">
        <f>ROUND(SUM('Consol. Historical FS'!G85,'Consol. Historical FS'!G97),2)</f>
        <v>45810.03</v>
      </c>
      <c r="F30" s="294">
        <v>4568</v>
      </c>
      <c r="G30" s="246">
        <v>4758</v>
      </c>
      <c r="H30" s="247">
        <v>5042</v>
      </c>
      <c r="I30" s="245">
        <v>126670</v>
      </c>
      <c r="J30" s="250">
        <v>165178</v>
      </c>
      <c r="K30" s="247">
        <v>173288</v>
      </c>
    </row>
    <row r="31" spans="2:11">
      <c r="B31" s="211" t="s">
        <v>376</v>
      </c>
      <c r="C31" s="295">
        <f>'Consol. Historical FS'!E79</f>
        <v>45583.58</v>
      </c>
      <c r="D31" s="296">
        <f>'Consol. Historical FS'!F79</f>
        <v>52944.77</v>
      </c>
      <c r="E31" s="297">
        <f>'Consol. Historical FS'!G79</f>
        <v>62435.39</v>
      </c>
      <c r="F31" s="298">
        <v>3995</v>
      </c>
      <c r="G31" s="299">
        <v>8026</v>
      </c>
      <c r="H31" s="300">
        <v>9697</v>
      </c>
      <c r="I31" s="301">
        <v>169457</v>
      </c>
      <c r="J31" s="299">
        <v>109699</v>
      </c>
      <c r="K31" s="247">
        <v>119710</v>
      </c>
    </row>
    <row r="32" spans="2:11">
      <c r="B32" s="211" t="s">
        <v>377</v>
      </c>
      <c r="C32" s="295">
        <f>ROUND(SUM('Consol. Historical FS'!E64:E65),2)</f>
        <v>4248.78</v>
      </c>
      <c r="D32" s="296">
        <f>ROUND(SUM('Consol. Historical FS'!F64:F65),2)</f>
        <v>7631.88</v>
      </c>
      <c r="E32" s="297">
        <f>ROUND(SUM('Consol. Historical FS'!G64:G65),2)</f>
        <v>6605.97</v>
      </c>
      <c r="F32" s="302">
        <v>1632</v>
      </c>
      <c r="G32" s="299">
        <v>4090</v>
      </c>
      <c r="H32" s="300">
        <v>2482</v>
      </c>
      <c r="I32" s="301">
        <v>30632</v>
      </c>
      <c r="J32" s="299">
        <v>29744</v>
      </c>
      <c r="K32" s="247">
        <v>40510</v>
      </c>
    </row>
    <row r="33" spans="2:17">
      <c r="B33" s="211" t="s">
        <v>231</v>
      </c>
      <c r="C33" s="303">
        <f>ROUND((C30-C32)/C31,1)</f>
        <v>1</v>
      </c>
      <c r="D33" s="304">
        <f t="shared" ref="C33:K33" si="4">ROUND((D30-D32)/D31,1)</f>
        <v>0.7</v>
      </c>
      <c r="E33" s="305">
        <f t="shared" si="4"/>
        <v>0.6</v>
      </c>
      <c r="F33" s="303">
        <f t="shared" si="4"/>
        <v>0.7</v>
      </c>
      <c r="G33" s="304">
        <f t="shared" si="4"/>
        <v>0.1</v>
      </c>
      <c r="H33" s="305">
        <f t="shared" si="4"/>
        <v>0.3</v>
      </c>
      <c r="I33" s="303">
        <f t="shared" si="4"/>
        <v>0.6</v>
      </c>
      <c r="J33" s="304">
        <f t="shared" si="4"/>
        <v>1.2</v>
      </c>
      <c r="K33" s="305">
        <f t="shared" si="4"/>
        <v>1.1000000000000001</v>
      </c>
      <c r="L33" s="306"/>
    </row>
    <row r="34" spans="2:17">
      <c r="B34" s="274" t="s">
        <v>378</v>
      </c>
      <c r="C34" s="356">
        <v>24790</v>
      </c>
      <c r="D34" s="307"/>
      <c r="E34" s="308"/>
      <c r="F34" s="309">
        <v>1719</v>
      </c>
      <c r="G34" s="309"/>
      <c r="H34" s="310"/>
      <c r="I34" s="311">
        <v>76442</v>
      </c>
      <c r="J34" s="309"/>
      <c r="K34" s="310"/>
    </row>
    <row r="35" spans="2:17" ht="15" customHeight="1">
      <c r="B35" s="312"/>
      <c r="C35" s="313"/>
      <c r="D35" s="313"/>
      <c r="E35" s="313"/>
      <c r="F35" s="313"/>
      <c r="G35" s="313"/>
      <c r="H35" s="313"/>
      <c r="I35" s="313"/>
      <c r="J35" s="313"/>
      <c r="K35" s="313"/>
    </row>
    <row r="36" spans="2:17">
      <c r="B36" s="267" t="s">
        <v>379</v>
      </c>
      <c r="C36" s="268"/>
      <c r="D36" s="269"/>
      <c r="E36" s="269"/>
      <c r="F36" s="268"/>
      <c r="G36" s="269"/>
      <c r="H36" s="269"/>
      <c r="I36" s="268"/>
      <c r="J36" s="269"/>
      <c r="K36" s="269"/>
    </row>
    <row r="37" spans="2:17">
      <c r="B37" s="274" t="s">
        <v>380</v>
      </c>
      <c r="C37" s="314"/>
      <c r="D37" s="361">
        <f>ROUND(D41/11972,1)</f>
        <v>29.4</v>
      </c>
      <c r="E37" s="316"/>
      <c r="F37" s="314"/>
      <c r="G37" s="361">
        <f>ROUND(G41/1610,1)</f>
        <v>41.1</v>
      </c>
      <c r="H37" s="316"/>
      <c r="I37" s="314" t="e">
        <f>ROUND(I41/K20,1)</f>
        <v>#VALUE!</v>
      </c>
      <c r="J37" s="315"/>
      <c r="K37" s="316"/>
    </row>
    <row r="38" spans="2:17">
      <c r="B38" s="274" t="s">
        <v>381</v>
      </c>
      <c r="C38" s="317"/>
      <c r="D38" s="362">
        <f>ROUND(D41/69707,1)</f>
        <v>5.0999999999999996</v>
      </c>
      <c r="E38" s="319"/>
      <c r="F38" s="317"/>
      <c r="G38" s="362">
        <f>ROUND(G41/10204,1)</f>
        <v>6.5</v>
      </c>
      <c r="H38" s="319"/>
      <c r="I38" s="317" t="e">
        <f>ROUND(I41/K31,1)</f>
        <v>#VALUE!</v>
      </c>
      <c r="J38" s="318"/>
      <c r="K38" s="319"/>
    </row>
    <row r="39" spans="2:17">
      <c r="B39" s="274" t="s">
        <v>382</v>
      </c>
      <c r="C39" s="317"/>
      <c r="D39" s="362">
        <f>ROUND((D41+47102)/20643,1)</f>
        <v>19.3</v>
      </c>
      <c r="E39" s="319"/>
      <c r="F39" s="317"/>
      <c r="G39" s="362">
        <f>ROUND((G41+4213)/2418,1)</f>
        <v>29.1</v>
      </c>
      <c r="H39" s="319"/>
      <c r="I39" s="317" t="e">
        <f>ROUND((I41+K30-K32)/K17,1)</f>
        <v>#VALUE!</v>
      </c>
      <c r="J39" s="318"/>
      <c r="K39" s="319"/>
    </row>
    <row r="40" spans="2:17">
      <c r="B40" s="274" t="s">
        <v>383</v>
      </c>
      <c r="C40" s="317"/>
      <c r="D40" s="362">
        <f>ROUND((D41+47102)/34746,1)</f>
        <v>11.5</v>
      </c>
      <c r="E40" s="319"/>
      <c r="F40" s="317"/>
      <c r="G40" s="362">
        <f>ROUND((G41+4213)/4954,1)</f>
        <v>14.2</v>
      </c>
      <c r="H40" s="319"/>
      <c r="I40" s="317" t="e">
        <f>ROUND((I41+K30-K32)/K11,1)</f>
        <v>#VALUE!</v>
      </c>
      <c r="J40" s="318"/>
      <c r="K40" s="319"/>
    </row>
    <row r="41" spans="2:17">
      <c r="B41" s="253" t="s">
        <v>384</v>
      </c>
      <c r="C41" s="320"/>
      <c r="D41" s="298">
        <v>352188</v>
      </c>
      <c r="E41" s="322"/>
      <c r="F41" s="320"/>
      <c r="G41" s="298">
        <v>66202.5</v>
      </c>
      <c r="H41" s="322"/>
      <c r="I41" s="320" t="s">
        <v>385</v>
      </c>
      <c r="J41" s="321"/>
      <c r="K41" s="322"/>
    </row>
    <row r="42" spans="2:17" ht="15" customHeight="1">
      <c r="B42" s="312"/>
      <c r="C42" s="323"/>
      <c r="D42" s="323"/>
      <c r="E42" s="323"/>
      <c r="F42" s="323"/>
      <c r="G42" s="323"/>
      <c r="H42" s="323"/>
      <c r="I42" s="323"/>
      <c r="J42" s="323"/>
      <c r="K42" s="323"/>
    </row>
    <row r="43" spans="2:17">
      <c r="B43" s="267" t="s">
        <v>386</v>
      </c>
      <c r="C43" s="268" t="s">
        <v>387</v>
      </c>
      <c r="D43" s="269" t="s">
        <v>388</v>
      </c>
      <c r="E43" s="269" t="s">
        <v>389</v>
      </c>
      <c r="F43" s="268" t="str">
        <f t="shared" ref="F43:K43" si="5">C43</f>
        <v>Mar'23</v>
      </c>
      <c r="G43" s="269" t="str">
        <f t="shared" si="5"/>
        <v>Mar'24</v>
      </c>
      <c r="H43" s="269" t="str">
        <f t="shared" si="5"/>
        <v>Mar'25</v>
      </c>
      <c r="I43" s="268" t="str">
        <f t="shared" si="5"/>
        <v>Mar'23</v>
      </c>
      <c r="J43" s="269" t="str">
        <f t="shared" si="5"/>
        <v>Mar'24</v>
      </c>
      <c r="K43" s="357" t="str">
        <f t="shared" si="5"/>
        <v>Mar'25</v>
      </c>
      <c r="L43" s="324"/>
    </row>
    <row r="44" spans="2:17">
      <c r="B44" s="274" t="s">
        <v>390</v>
      </c>
      <c r="C44" s="325">
        <v>0.46210000000000001</v>
      </c>
      <c r="D44" s="326">
        <v>0.4511</v>
      </c>
      <c r="E44" s="327">
        <v>0.44109999999999999</v>
      </c>
      <c r="F44" s="325">
        <v>0.31159999999999999</v>
      </c>
      <c r="G44" s="326">
        <v>0.2944</v>
      </c>
      <c r="H44" s="327">
        <v>0.28310000000000002</v>
      </c>
      <c r="I44" s="325">
        <v>0.67530000000000001</v>
      </c>
      <c r="J44" s="326">
        <v>0.67530000000000001</v>
      </c>
      <c r="K44" s="358">
        <v>0.67530000000000001</v>
      </c>
    </row>
    <row r="45" spans="2:17">
      <c r="B45" s="274" t="s">
        <v>391</v>
      </c>
      <c r="C45" s="328">
        <v>2.9999999999999997E-4</v>
      </c>
      <c r="D45" s="329">
        <v>1E-4</v>
      </c>
      <c r="E45" s="330">
        <v>1E-4</v>
      </c>
      <c r="F45" s="328">
        <v>0</v>
      </c>
      <c r="G45" s="329">
        <v>0</v>
      </c>
      <c r="H45" s="330">
        <v>0</v>
      </c>
      <c r="I45" s="328">
        <v>0</v>
      </c>
      <c r="J45" s="329">
        <v>0</v>
      </c>
      <c r="K45" s="359">
        <v>0</v>
      </c>
    </row>
    <row r="46" spans="2:17">
      <c r="B46" s="274" t="s">
        <v>392</v>
      </c>
      <c r="C46" s="331">
        <v>0.28920000000000001</v>
      </c>
      <c r="D46" s="332">
        <v>0.2833</v>
      </c>
      <c r="E46" s="333">
        <v>0.26929999999999998</v>
      </c>
      <c r="F46" s="331">
        <v>0.2571</v>
      </c>
      <c r="G46" s="332">
        <v>0.30690000000000001</v>
      </c>
      <c r="H46" s="333">
        <v>0.31780000000000003</v>
      </c>
      <c r="I46" s="331">
        <v>1.66E-2</v>
      </c>
      <c r="J46" s="332">
        <v>3.3399999999999999E-2</v>
      </c>
      <c r="K46" s="360">
        <v>2.75E-2</v>
      </c>
    </row>
    <row r="48" spans="2:17" ht="23.25">
      <c r="N48" s="345" t="s">
        <v>345</v>
      </c>
      <c r="O48" s="341" t="s">
        <v>346</v>
      </c>
      <c r="P48" s="346" t="s">
        <v>347</v>
      </c>
      <c r="Q48" s="348" t="s">
        <v>348</v>
      </c>
    </row>
    <row r="49" spans="14:17" ht="15.75" customHeight="1">
      <c r="N49" s="207" t="s">
        <v>349</v>
      </c>
      <c r="O49" s="342"/>
      <c r="P49" s="347"/>
      <c r="Q49" s="349"/>
    </row>
    <row r="50" spans="14:17" ht="33.75" customHeight="1">
      <c r="N50" s="212" t="s">
        <v>350</v>
      </c>
      <c r="O50" s="354" t="s">
        <v>351</v>
      </c>
      <c r="P50" s="354" t="s">
        <v>352</v>
      </c>
      <c r="Q50" s="355" t="s">
        <v>353</v>
      </c>
    </row>
    <row r="51" spans="14:17" ht="92.25" customHeight="1">
      <c r="N51" s="215" t="s">
        <v>393</v>
      </c>
      <c r="O51" s="352" t="s">
        <v>355</v>
      </c>
      <c r="P51" s="352" t="s">
        <v>356</v>
      </c>
      <c r="Q51" s="353" t="s">
        <v>357</v>
      </c>
    </row>
    <row r="52" spans="14:17" ht="87" customHeight="1">
      <c r="N52" s="218" t="s">
        <v>358</v>
      </c>
      <c r="O52" s="343" t="s">
        <v>359</v>
      </c>
      <c r="P52" s="343" t="s">
        <v>360</v>
      </c>
      <c r="Q52" s="350" t="s">
        <v>361</v>
      </c>
    </row>
    <row r="53" spans="14:17" ht="63" customHeight="1">
      <c r="N53" s="340" t="s">
        <v>362</v>
      </c>
      <c r="O53" s="344" t="s">
        <v>363</v>
      </c>
      <c r="P53" s="344" t="s">
        <v>364</v>
      </c>
      <c r="Q53" s="351" t="s">
        <v>365</v>
      </c>
    </row>
  </sheetData>
  <pageMargins left="0.7" right="0.7" top="0.75" bottom="0.75" header="0.3" footer="0.3"/>
  <pageSetup paperSize="9" orientation="portrait"/>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5A5CC-7FBC-4B05-95A8-BC2463E50A00}">
  <sheetPr>
    <pageSetUpPr autoPageBreaks="0"/>
  </sheetPr>
  <dimension ref="B2:H32"/>
  <sheetViews>
    <sheetView showGridLines="0" zoomScale="89" zoomScaleNormal="73" workbookViewId="0">
      <pane ySplit="3" topLeftCell="A11" activePane="bottomLeft" state="frozen"/>
      <selection pane="bottomLeft" activeCell="G19" sqref="G19:G21"/>
    </sheetView>
  </sheetViews>
  <sheetFormatPr defaultColWidth="9.140625" defaultRowHeight="15"/>
  <cols>
    <col min="1" max="1" width="1.85546875" style="1" customWidth="1"/>
    <col min="2" max="2" width="31.42578125" style="1" bestFit="1" customWidth="1"/>
    <col min="3" max="3" width="8.85546875" style="1" customWidth="1"/>
    <col min="4" max="5" width="9.140625" style="1"/>
    <col min="6" max="6" width="8.85546875" style="1" customWidth="1"/>
    <col min="7" max="16384" width="9.140625" style="1"/>
  </cols>
  <sheetData>
    <row r="2" spans="2:8" ht="18.95">
      <c r="B2" s="78" t="s">
        <v>394</v>
      </c>
      <c r="C2" s="78"/>
      <c r="D2" s="78"/>
      <c r="E2" s="78"/>
      <c r="F2" s="78"/>
      <c r="G2" s="78"/>
      <c r="H2" s="78"/>
    </row>
    <row r="3" spans="2:8">
      <c r="B3" s="192" t="s">
        <v>345</v>
      </c>
      <c r="C3" s="193" t="s">
        <v>395</v>
      </c>
      <c r="D3" s="193" t="s">
        <v>396</v>
      </c>
      <c r="E3" s="193" t="s">
        <v>367</v>
      </c>
      <c r="F3" s="193" t="s">
        <v>368</v>
      </c>
      <c r="G3" s="193" t="s">
        <v>369</v>
      </c>
      <c r="H3" s="193" t="s">
        <v>397</v>
      </c>
    </row>
    <row r="4" spans="2:8">
      <c r="B4" s="198" t="s">
        <v>390</v>
      </c>
      <c r="C4" s="71">
        <v>0.63739999999999997</v>
      </c>
      <c r="D4" s="71">
        <v>0.65549999999999997</v>
      </c>
      <c r="E4" s="71">
        <v>0.61029999999999995</v>
      </c>
      <c r="F4" s="71">
        <v>0.65890000000000004</v>
      </c>
      <c r="G4" s="71">
        <v>0.65890000000000004</v>
      </c>
      <c r="H4" s="71">
        <v>0.65890000000000004</v>
      </c>
    </row>
    <row r="5" spans="2:8" ht="45.75">
      <c r="B5" s="199" t="s">
        <v>398</v>
      </c>
      <c r="C5" s="72">
        <v>0.39340000000000003</v>
      </c>
      <c r="D5" s="72">
        <v>0.37840000000000001</v>
      </c>
      <c r="E5" s="72">
        <v>0.32900000000000001</v>
      </c>
      <c r="F5" s="72">
        <v>0.32900000000000001</v>
      </c>
      <c r="G5" s="72">
        <v>0.32900000000000001</v>
      </c>
      <c r="H5" s="72">
        <v>0.32900000000000001</v>
      </c>
    </row>
    <row r="6" spans="2:8">
      <c r="B6" s="200" t="s">
        <v>399</v>
      </c>
      <c r="C6" s="72">
        <v>0</v>
      </c>
      <c r="D6" s="72">
        <v>0</v>
      </c>
      <c r="E6" s="72">
        <v>4.4699999999999997E-2</v>
      </c>
      <c r="F6" s="72">
        <v>6.3799999999999996E-2</v>
      </c>
      <c r="G6" s="72">
        <v>6.4000000000000001E-2</v>
      </c>
      <c r="H6" s="72">
        <v>6.4000000000000001E-2</v>
      </c>
    </row>
    <row r="7" spans="2:8" ht="30.75">
      <c r="B7" s="199" t="s">
        <v>400</v>
      </c>
      <c r="C7" s="72">
        <v>5.11E-2</v>
      </c>
      <c r="D7" s="72">
        <v>5.4199999999999998E-2</v>
      </c>
      <c r="E7" s="72">
        <v>5.7599999999999998E-2</v>
      </c>
      <c r="F7" s="72">
        <v>5.7599999999999998E-2</v>
      </c>
      <c r="G7" s="72">
        <v>5.7599999999999998E-2</v>
      </c>
      <c r="H7" s="72">
        <v>5.7599999999999998E-2</v>
      </c>
    </row>
    <row r="8" spans="2:8" ht="30.75">
      <c r="B8" s="200" t="s">
        <v>401</v>
      </c>
      <c r="C8" s="72">
        <v>4.1399999999999999E-2</v>
      </c>
      <c r="D8" s="72">
        <v>3.9899999999999998E-2</v>
      </c>
      <c r="E8" s="72">
        <v>3.9E-2</v>
      </c>
      <c r="F8" s="72">
        <v>6.3100000000000003E-2</v>
      </c>
      <c r="G8" s="72">
        <v>6.3100000000000003E-2</v>
      </c>
      <c r="H8" s="72">
        <v>6.3100000000000003E-2</v>
      </c>
    </row>
    <row r="9" spans="2:8">
      <c r="B9" s="200" t="s">
        <v>402</v>
      </c>
      <c r="C9" s="72">
        <v>6.8000000000000005E-2</v>
      </c>
      <c r="D9" s="72">
        <v>6.54E-2</v>
      </c>
      <c r="E9" s="72">
        <v>1.9300000000000001E-2</v>
      </c>
      <c r="F9" s="72">
        <v>1E-4</v>
      </c>
      <c r="G9" s="72">
        <v>0</v>
      </c>
      <c r="H9" s="72">
        <v>0</v>
      </c>
    </row>
    <row r="10" spans="2:8" ht="30.75">
      <c r="B10" s="200" t="s">
        <v>403</v>
      </c>
      <c r="C10" s="72">
        <v>4.4299999999999999E-2</v>
      </c>
      <c r="D10" s="72">
        <v>4.2599999999999999E-2</v>
      </c>
      <c r="E10" s="72">
        <v>4.1599999999999998E-2</v>
      </c>
      <c r="F10" s="72">
        <v>4.1599999999999998E-2</v>
      </c>
      <c r="G10" s="72">
        <v>4.1599999999999998E-2</v>
      </c>
      <c r="H10" s="72">
        <v>4.1599999999999998E-2</v>
      </c>
    </row>
    <row r="11" spans="2:8" ht="30.75">
      <c r="B11" s="200" t="s">
        <v>404</v>
      </c>
      <c r="C11" s="72">
        <v>3.8300000000000001E-2</v>
      </c>
      <c r="D11" s="72">
        <v>4.0800000000000003E-2</v>
      </c>
      <c r="E11" s="72">
        <v>3.9899999999999998E-2</v>
      </c>
      <c r="F11" s="72">
        <v>3.9899999999999998E-2</v>
      </c>
      <c r="G11" s="72">
        <v>3.9899999999999998E-2</v>
      </c>
      <c r="H11" s="72">
        <v>3.9899999999999998E-2</v>
      </c>
    </row>
    <row r="12" spans="2:8">
      <c r="B12" s="200" t="s">
        <v>405</v>
      </c>
      <c r="C12" s="72">
        <v>0</v>
      </c>
      <c r="D12" s="72">
        <v>3.3399999999999999E-2</v>
      </c>
      <c r="E12" s="72">
        <v>3.27E-2</v>
      </c>
      <c r="F12" s="72">
        <v>3.27E-2</v>
      </c>
      <c r="G12" s="72">
        <v>3.27E-2</v>
      </c>
      <c r="H12" s="72">
        <v>3.27E-2</v>
      </c>
    </row>
    <row r="13" spans="2:8" ht="30.75">
      <c r="B13" s="200" t="s">
        <v>406</v>
      </c>
      <c r="C13" s="72">
        <v>0</v>
      </c>
      <c r="D13" s="72">
        <v>0</v>
      </c>
      <c r="E13" s="72">
        <v>0</v>
      </c>
      <c r="F13" s="72">
        <v>2.4500000000000001E-2</v>
      </c>
      <c r="G13" s="72">
        <v>2.4500000000000001E-2</v>
      </c>
      <c r="H13" s="72">
        <v>2.4500000000000001E-2</v>
      </c>
    </row>
    <row r="14" spans="2:8" ht="30.75">
      <c r="B14" s="200" t="s">
        <v>407</v>
      </c>
      <c r="C14" s="72">
        <v>0</v>
      </c>
      <c r="D14" s="72">
        <v>0</v>
      </c>
      <c r="E14" s="72">
        <v>5.7000000000000002E-3</v>
      </c>
      <c r="F14" s="72">
        <v>5.7000000000000002E-3</v>
      </c>
      <c r="G14" s="72">
        <v>5.7000000000000002E-3</v>
      </c>
      <c r="H14" s="72">
        <v>5.7000000000000002E-3</v>
      </c>
    </row>
    <row r="15" spans="2:8">
      <c r="B15" s="199" t="s">
        <v>408</v>
      </c>
      <c r="C15" s="72">
        <v>8.0000000000000004E-4</v>
      </c>
      <c r="D15" s="72">
        <v>8.0000000000000004E-4</v>
      </c>
      <c r="E15" s="72">
        <v>8.0000000000000004E-4</v>
      </c>
      <c r="F15" s="72">
        <v>8.0000000000000004E-4</v>
      </c>
      <c r="G15" s="72">
        <v>8.0000000000000004E-4</v>
      </c>
      <c r="H15" s="72">
        <v>8.0000000000000004E-4</v>
      </c>
    </row>
    <row r="16" spans="2:8">
      <c r="B16" s="30" t="s">
        <v>409</v>
      </c>
      <c r="C16" s="197">
        <f>ROUND(C4-SUM(C5:C15),4)</f>
        <v>1E-4</v>
      </c>
      <c r="D16" s="197">
        <f t="shared" ref="D16:H16" si="0">ROUND(D4-SUM(D5:D15),4)</f>
        <v>0</v>
      </c>
      <c r="E16" s="197">
        <f t="shared" si="0"/>
        <v>0</v>
      </c>
      <c r="F16" s="197">
        <f t="shared" si="0"/>
        <v>1E-4</v>
      </c>
      <c r="G16" s="197">
        <f t="shared" si="0"/>
        <v>0</v>
      </c>
      <c r="H16" s="197">
        <f t="shared" si="0"/>
        <v>0</v>
      </c>
    </row>
    <row r="17" spans="2:8" ht="4.3499999999999996" customHeight="1">
      <c r="B17" s="199"/>
      <c r="C17" s="73"/>
      <c r="D17" s="73"/>
      <c r="E17" s="73"/>
      <c r="F17" s="73"/>
      <c r="G17" s="73"/>
    </row>
    <row r="18" spans="2:8">
      <c r="B18" s="198" t="s">
        <v>392</v>
      </c>
      <c r="C18" s="71">
        <v>0.17899999999999999</v>
      </c>
      <c r="D18" s="71">
        <v>0.1426</v>
      </c>
      <c r="E18" s="71">
        <v>0.1799</v>
      </c>
      <c r="F18" s="71">
        <v>0.14979999999999999</v>
      </c>
      <c r="G18" s="71">
        <v>0.1343</v>
      </c>
      <c r="H18" s="71">
        <v>0.1361</v>
      </c>
    </row>
    <row r="19" spans="2:8" ht="45.75">
      <c r="B19" s="199" t="s">
        <v>410</v>
      </c>
      <c r="C19" s="73">
        <v>0</v>
      </c>
      <c r="D19" s="73">
        <v>0</v>
      </c>
      <c r="E19" s="73">
        <v>1.8200000000000001E-2</v>
      </c>
      <c r="F19" s="73">
        <v>2.6599999999999999E-2</v>
      </c>
      <c r="G19" s="73">
        <v>2.4299999999999999E-2</v>
      </c>
      <c r="H19" s="73">
        <f>G19-0.0001</f>
        <v>2.4199999999999999E-2</v>
      </c>
    </row>
    <row r="20" spans="2:8" ht="30.75">
      <c r="B20" s="199" t="s">
        <v>411</v>
      </c>
      <c r="C20" s="73">
        <v>0</v>
      </c>
      <c r="D20" s="73">
        <v>0</v>
      </c>
      <c r="E20" s="73">
        <v>0</v>
      </c>
      <c r="F20" s="73">
        <v>1.41E-2</v>
      </c>
      <c r="G20" s="73">
        <v>1.4999999999999999E-2</v>
      </c>
      <c r="H20" s="73">
        <v>1.0699999999999999E-2</v>
      </c>
    </row>
    <row r="21" spans="2:8">
      <c r="B21" s="199" t="s">
        <v>412</v>
      </c>
      <c r="C21" s="73">
        <v>1.2999999999999999E-2</v>
      </c>
      <c r="D21" s="73">
        <v>1.2500000000000001E-2</v>
      </c>
      <c r="E21" s="73">
        <v>1.2200000000000001E-2</v>
      </c>
      <c r="F21" s="73">
        <v>0</v>
      </c>
      <c r="G21" s="73">
        <v>0</v>
      </c>
      <c r="H21" s="73">
        <v>0</v>
      </c>
    </row>
    <row r="22" spans="2:8" ht="4.3499999999999996" customHeight="1">
      <c r="B22" s="30"/>
    </row>
    <row r="23" spans="2:8">
      <c r="B23" s="198" t="s">
        <v>413</v>
      </c>
      <c r="C23" s="71">
        <v>0.14829999999999999</v>
      </c>
      <c r="D23" s="71">
        <v>0.1532</v>
      </c>
      <c r="E23" s="71">
        <v>0.13020000000000001</v>
      </c>
      <c r="F23" s="71">
        <v>0.11840000000000001</v>
      </c>
      <c r="G23" s="71">
        <v>0.14729999999999999</v>
      </c>
      <c r="H23" s="75">
        <v>0.15029999999999999</v>
      </c>
    </row>
    <row r="24" spans="2:8">
      <c r="B24" s="199" t="s">
        <v>414</v>
      </c>
      <c r="C24" s="72">
        <v>0.1077</v>
      </c>
      <c r="D24" s="72">
        <v>9.9199999999999997E-2</v>
      </c>
      <c r="E24" s="72">
        <v>9.1200000000000003E-2</v>
      </c>
      <c r="F24" s="72">
        <v>7.8600000000000003E-2</v>
      </c>
      <c r="G24" s="72">
        <v>8.1000000000000003E-2</v>
      </c>
      <c r="H24" s="73">
        <v>7.7299999999999994E-2</v>
      </c>
    </row>
    <row r="25" spans="2:8">
      <c r="B25" s="199" t="s">
        <v>415</v>
      </c>
      <c r="C25" s="72">
        <v>0</v>
      </c>
      <c r="D25" s="72">
        <v>0</v>
      </c>
      <c r="E25" s="72">
        <v>0</v>
      </c>
      <c r="F25" s="72">
        <v>0</v>
      </c>
      <c r="G25" s="72">
        <v>1.8100000000000002E-2</v>
      </c>
      <c r="H25" s="73">
        <v>1.8800000000000001E-2</v>
      </c>
    </row>
    <row r="26" spans="2:8" ht="4.3499999999999996" customHeight="1">
      <c r="B26" s="30"/>
      <c r="C26" s="72"/>
      <c r="D26" s="72"/>
      <c r="E26" s="72"/>
      <c r="F26" s="72"/>
      <c r="G26" s="72"/>
    </row>
    <row r="27" spans="2:8">
      <c r="B27" s="201" t="s">
        <v>416</v>
      </c>
      <c r="C27" s="71">
        <v>6.9999999999999999E-4</v>
      </c>
      <c r="D27" s="71">
        <v>2.9999999999999997E-4</v>
      </c>
      <c r="E27" s="71">
        <v>0</v>
      </c>
      <c r="F27" s="71">
        <v>0</v>
      </c>
      <c r="G27" s="71">
        <v>0</v>
      </c>
      <c r="H27" s="71">
        <v>0</v>
      </c>
    </row>
    <row r="28" spans="2:8" ht="4.3499999999999996" customHeight="1">
      <c r="B28" s="30"/>
    </row>
    <row r="29" spans="2:8">
      <c r="B29" s="201" t="s">
        <v>417</v>
      </c>
      <c r="C29" s="71">
        <v>3.4599999999999999E-2</v>
      </c>
      <c r="D29" s="71">
        <v>4.8399999999999999E-2</v>
      </c>
      <c r="E29" s="71">
        <v>7.9500000000000001E-2</v>
      </c>
      <c r="F29" s="71">
        <v>7.2999999999999995E-2</v>
      </c>
      <c r="G29" s="71">
        <v>5.9400000000000001E-2</v>
      </c>
      <c r="H29" s="71">
        <v>5.4800000000000001E-2</v>
      </c>
    </row>
    <row r="30" spans="2:8" ht="30.75">
      <c r="B30" s="30" t="s">
        <v>418</v>
      </c>
      <c r="C30" s="72">
        <v>0</v>
      </c>
      <c r="D30" s="72">
        <v>0</v>
      </c>
      <c r="E30" s="72">
        <v>1.23E-2</v>
      </c>
      <c r="F30" s="72">
        <v>1.23E-2</v>
      </c>
      <c r="G30" s="73">
        <v>0</v>
      </c>
      <c r="H30" s="73">
        <v>0</v>
      </c>
    </row>
    <row r="31" spans="2:8" ht="5.25" customHeight="1">
      <c r="B31" s="30"/>
    </row>
    <row r="32" spans="2:8">
      <c r="B32" s="201" t="s">
        <v>419</v>
      </c>
      <c r="C32" s="76">
        <f>ROUND(SUM(C4,C18,C23,C27,C29),4)</f>
        <v>1</v>
      </c>
      <c r="D32" s="76">
        <f>ROUND(SUM(D4,D18,D23,D27,D29),4)</f>
        <v>1</v>
      </c>
      <c r="E32" s="76">
        <f>ROUND(SUM(E4,E18,E23,E27,E29),4)</f>
        <v>0.99990000000000001</v>
      </c>
      <c r="F32" s="76">
        <f>ROUND(SUM(F4,F18,F23,F27,F29),4)</f>
        <v>1.0001</v>
      </c>
      <c r="G32" s="76">
        <f>ROUND(SUM(G4,G18,G23,G27,G29),4)</f>
        <v>0.99990000000000001</v>
      </c>
      <c r="H32" s="76">
        <f>ROUND(SUM(H4,H18,H23,H27,H29),4)</f>
        <v>1.0001</v>
      </c>
    </row>
  </sheetData>
  <phoneticPr fontId="0" type="noConversion"/>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1EC42-A8E6-4EF8-BC68-69F232DFB455}">
  <sheetPr>
    <pageSetUpPr autoPageBreaks="0"/>
  </sheetPr>
  <dimension ref="B2:D31"/>
  <sheetViews>
    <sheetView showGridLines="0" zoomScale="106" zoomScaleNormal="100" workbookViewId="0">
      <pane ySplit="2" topLeftCell="A3" activePane="bottomLeft" state="frozen"/>
      <selection pane="bottomLeft" activeCell="F22" sqref="F22"/>
    </sheetView>
  </sheetViews>
  <sheetFormatPr defaultColWidth="8.85546875" defaultRowHeight="15"/>
  <cols>
    <col min="1" max="1" width="1.85546875" customWidth="1"/>
    <col min="2" max="2" width="82.140625" customWidth="1"/>
  </cols>
  <sheetData>
    <row r="2" spans="2:4">
      <c r="B2" s="159" t="s">
        <v>420</v>
      </c>
      <c r="C2" s="160" t="s">
        <v>369</v>
      </c>
      <c r="D2" s="161" t="s">
        <v>368</v>
      </c>
    </row>
    <row r="3" spans="2:4" ht="30.75">
      <c r="B3" s="152" t="s">
        <v>421</v>
      </c>
      <c r="C3" s="185">
        <v>104.35</v>
      </c>
      <c r="D3" s="186">
        <v>0.66</v>
      </c>
    </row>
    <row r="4" spans="2:4">
      <c r="B4" s="153" t="s">
        <v>422</v>
      </c>
      <c r="C4" s="187">
        <v>280.54000000000002</v>
      </c>
      <c r="D4" s="188">
        <v>340.47</v>
      </c>
    </row>
    <row r="5" spans="2:4" ht="60.75">
      <c r="B5" s="153" t="s">
        <v>423</v>
      </c>
      <c r="C5" s="187">
        <v>0.14000000000000001</v>
      </c>
      <c r="D5" s="188">
        <v>0.14000000000000001</v>
      </c>
    </row>
    <row r="6" spans="2:4" ht="229.5">
      <c r="B6" s="153" t="s">
        <v>424</v>
      </c>
      <c r="C6" s="187">
        <v>32.630000000000003</v>
      </c>
      <c r="D6" s="188">
        <v>32.630000000000003</v>
      </c>
    </row>
    <row r="7" spans="2:4" ht="137.25">
      <c r="B7" s="153" t="s">
        <v>425</v>
      </c>
      <c r="C7" s="187">
        <v>6.9</v>
      </c>
      <c r="D7" s="188">
        <v>6.9</v>
      </c>
    </row>
    <row r="8" spans="2:4" ht="91.5">
      <c r="B8" s="153" t="s">
        <v>426</v>
      </c>
      <c r="C8" s="187" t="s">
        <v>427</v>
      </c>
      <c r="D8" s="188">
        <v>18.329999999999998</v>
      </c>
    </row>
    <row r="9" spans="2:4" ht="105" customHeight="1">
      <c r="B9" s="153" t="s">
        <v>428</v>
      </c>
      <c r="C9" s="187" t="s">
        <v>427</v>
      </c>
      <c r="D9" s="188">
        <v>14.53</v>
      </c>
    </row>
    <row r="10" spans="2:4" ht="45.75">
      <c r="B10" s="153" t="s">
        <v>429</v>
      </c>
      <c r="C10" s="187">
        <v>187.47</v>
      </c>
      <c r="D10" s="188">
        <v>61.99</v>
      </c>
    </row>
    <row r="11" spans="2:4">
      <c r="B11" s="153" t="s">
        <v>430</v>
      </c>
      <c r="C11" s="187">
        <v>12.81</v>
      </c>
      <c r="D11" s="188">
        <v>4.99</v>
      </c>
    </row>
    <row r="12" spans="2:4">
      <c r="B12" s="153" t="s">
        <v>431</v>
      </c>
      <c r="C12" s="187"/>
      <c r="D12" s="188"/>
    </row>
    <row r="13" spans="2:4">
      <c r="B13" s="153" t="s">
        <v>432</v>
      </c>
      <c r="C13" s="187">
        <v>1.1499999999999999</v>
      </c>
      <c r="D13" s="188">
        <v>1.1399999999999999</v>
      </c>
    </row>
    <row r="14" spans="2:4">
      <c r="B14" s="153" t="s">
        <v>433</v>
      </c>
      <c r="C14" s="187"/>
      <c r="D14" s="188"/>
    </row>
    <row r="15" spans="2:4" ht="30.75">
      <c r="B15" s="153" t="s">
        <v>434</v>
      </c>
      <c r="C15" s="187">
        <v>98.63</v>
      </c>
      <c r="D15" s="188">
        <v>75.92</v>
      </c>
    </row>
    <row r="16" spans="2:4">
      <c r="B16" s="153" t="s">
        <v>435</v>
      </c>
      <c r="C16" s="187">
        <v>171.63</v>
      </c>
      <c r="D16" s="188">
        <v>202.36</v>
      </c>
    </row>
    <row r="17" spans="2:4">
      <c r="B17" s="153" t="s">
        <v>436</v>
      </c>
      <c r="C17" s="187">
        <v>69.53</v>
      </c>
      <c r="D17" s="188">
        <v>73.67</v>
      </c>
    </row>
    <row r="18" spans="2:4" ht="91.5">
      <c r="B18" s="153" t="s">
        <v>437</v>
      </c>
      <c r="C18" s="187">
        <v>0</v>
      </c>
      <c r="D18" s="188">
        <v>0</v>
      </c>
    </row>
    <row r="19" spans="2:4" ht="15.75" customHeight="1">
      <c r="B19" s="153" t="s">
        <v>438</v>
      </c>
      <c r="C19" s="187"/>
      <c r="D19" s="188"/>
    </row>
    <row r="20" spans="2:4">
      <c r="B20" s="153" t="s">
        <v>439</v>
      </c>
      <c r="C20" s="187">
        <v>10.14</v>
      </c>
      <c r="D20" s="188">
        <v>10.14</v>
      </c>
    </row>
    <row r="21" spans="2:4">
      <c r="B21" s="153" t="s">
        <v>440</v>
      </c>
      <c r="C21" s="187">
        <v>473.76</v>
      </c>
      <c r="D21" s="188">
        <v>473.76</v>
      </c>
    </row>
    <row r="22" spans="2:4" ht="91.5">
      <c r="B22" s="153" t="s">
        <v>441</v>
      </c>
      <c r="C22" s="187">
        <v>0</v>
      </c>
      <c r="D22" s="188">
        <v>0</v>
      </c>
    </row>
    <row r="23" spans="2:4">
      <c r="B23" s="154" t="s">
        <v>419</v>
      </c>
      <c r="C23" s="155">
        <f>SUM(C3:C22)</f>
        <v>1449.6799999999998</v>
      </c>
      <c r="D23" s="156">
        <f>SUM(D3:D22)</f>
        <v>1317.6299999999999</v>
      </c>
    </row>
    <row r="24" spans="2:4">
      <c r="B24" s="157" t="s">
        <v>442</v>
      </c>
      <c r="C24" s="158">
        <f>C23/'Consol. Historical FS'!G81</f>
        <v>2.2311920550798219E-2</v>
      </c>
      <c r="D24" s="158">
        <f>D23/'Consol. Historical FS'!F81</f>
        <v>2.4157637093669214E-2</v>
      </c>
    </row>
    <row r="25" spans="2:4">
      <c r="C25" s="69"/>
      <c r="D25" s="69"/>
    </row>
    <row r="26" spans="2:4">
      <c r="C26" s="69"/>
      <c r="D26" s="69"/>
    </row>
    <row r="27" spans="2:4">
      <c r="C27" s="69"/>
      <c r="D27" s="69"/>
    </row>
    <row r="28" spans="2:4">
      <c r="C28" s="69"/>
      <c r="D28" s="69"/>
    </row>
    <row r="29" spans="2:4">
      <c r="C29" s="69"/>
      <c r="D29" s="69"/>
    </row>
    <row r="30" spans="2:4">
      <c r="C30" s="69"/>
      <c r="D30" s="69"/>
    </row>
    <row r="31" spans="2:4">
      <c r="C31" s="69"/>
      <c r="D31" s="69"/>
    </row>
  </sheetData>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EEFDC-CB45-4C2C-9555-27031AC94B24}">
  <sheetPr>
    <pageSetUpPr autoPageBreaks="0"/>
  </sheetPr>
  <dimension ref="B2:G6"/>
  <sheetViews>
    <sheetView showGridLines="0" zoomScale="126" zoomScaleNormal="100" workbookViewId="0">
      <pane ySplit="3" topLeftCell="H9" activePane="bottomLeft" state="frozen"/>
      <selection pane="bottomLeft" activeCell="H9" sqref="H9"/>
    </sheetView>
  </sheetViews>
  <sheetFormatPr defaultColWidth="8.85546875" defaultRowHeight="15"/>
  <cols>
    <col min="1" max="1" width="1.85546875" customWidth="1"/>
    <col min="2" max="2" width="21.7109375" bestFit="1" customWidth="1"/>
    <col min="3" max="3" width="8.85546875" customWidth="1"/>
    <col min="6" max="6" width="8.85546875" customWidth="1"/>
  </cols>
  <sheetData>
    <row r="2" spans="2:7" ht="18.95">
      <c r="B2" s="90" t="s">
        <v>443</v>
      </c>
      <c r="C2" s="90"/>
      <c r="D2" s="90"/>
      <c r="E2" s="90"/>
      <c r="F2" s="90"/>
      <c r="G2" s="90"/>
    </row>
    <row r="3" spans="2:7">
      <c r="B3" s="189" t="s">
        <v>345</v>
      </c>
      <c r="C3" s="92" t="s">
        <v>395</v>
      </c>
      <c r="D3" s="92" t="s">
        <v>396</v>
      </c>
      <c r="E3" s="92" t="s">
        <v>367</v>
      </c>
      <c r="F3" s="92" t="s">
        <v>368</v>
      </c>
      <c r="G3" s="92" t="s">
        <v>369</v>
      </c>
    </row>
    <row r="4" spans="2:7">
      <c r="B4" t="s">
        <v>444</v>
      </c>
      <c r="C4" s="49">
        <f>ROUND(Scenarios!F393/'3 Model Projected FS'!C39,3)</f>
        <v>0.20200000000000001</v>
      </c>
      <c r="D4" s="49">
        <f>ROUND(Scenarios!G393/'3 Model Projected FS'!D39,3)</f>
        <v>0.223</v>
      </c>
      <c r="E4" s="49">
        <f>ROUND(Scenarios!H393/'3 Model Projected FS'!E39,3)</f>
        <v>0.20300000000000001</v>
      </c>
      <c r="F4" s="49">
        <f>ROUND(Scenarios!I393/'3 Model Projected FS'!F39,3)</f>
        <v>0.16</v>
      </c>
      <c r="G4" s="49">
        <f>ROUND(Scenarios!J393/'3 Model Projected FS'!G39,3)</f>
        <v>0.14000000000000001</v>
      </c>
    </row>
    <row r="5" spans="2:7">
      <c r="B5" t="s">
        <v>445</v>
      </c>
      <c r="C5" s="70">
        <f>Scenarios!F396</f>
        <v>4.97</v>
      </c>
      <c r="D5" s="70">
        <f>Scenarios!G396</f>
        <v>5.16</v>
      </c>
      <c r="E5" s="70">
        <f>Scenarios!H396</f>
        <v>4.99</v>
      </c>
      <c r="F5" s="70">
        <f>Scenarios!I396</f>
        <v>6</v>
      </c>
      <c r="G5" s="70">
        <f>Scenarios!J396</f>
        <v>7.17</v>
      </c>
    </row>
    <row r="6" spans="2:7">
      <c r="B6" t="s">
        <v>446</v>
      </c>
      <c r="C6" s="196">
        <f>ROUND(Scenarios!F396/Scenarios!F391,4)</f>
        <v>6.7999999999999996E-3</v>
      </c>
      <c r="D6" s="196">
        <f>ROUND(Scenarios!G396/Scenarios!G391,4)</f>
        <v>6.6E-3</v>
      </c>
      <c r="E6" s="196">
        <f>ROUND(Scenarios!H396/Scenarios!H391,4)</f>
        <v>7.9000000000000008E-3</v>
      </c>
      <c r="F6" s="196">
        <f>ROUND(Scenarios!I396/Scenarios!I391,4)</f>
        <v>4.4000000000000003E-3</v>
      </c>
      <c r="G6" s="196">
        <f>ROUND(Scenarios!J396/Scenarios!J391,4)</f>
        <v>6.1000000000000004E-3</v>
      </c>
    </row>
  </sheetData>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57B4B-2C67-4F71-9A80-E32E11A80793}">
  <sheetPr>
    <pageSetUpPr autoPageBreaks="0"/>
  </sheetPr>
  <dimension ref="B2:C8"/>
  <sheetViews>
    <sheetView showGridLines="0" zoomScale="153" zoomScaleNormal="100" workbookViewId="0">
      <selection activeCell="C9" sqref="C9"/>
    </sheetView>
  </sheetViews>
  <sheetFormatPr defaultRowHeight="15"/>
  <cols>
    <col min="1" max="1" width="1.85546875" customWidth="1"/>
    <col min="2" max="2" width="8.85546875" customWidth="1"/>
    <col min="3" max="3" width="20.7109375" customWidth="1"/>
  </cols>
  <sheetData>
    <row r="2" spans="2:3" ht="18.75">
      <c r="B2" s="90" t="s">
        <v>447</v>
      </c>
      <c r="C2" s="90"/>
    </row>
    <row r="3" spans="2:3">
      <c r="B3" s="1" t="s">
        <v>448</v>
      </c>
      <c r="C3" s="1" t="s">
        <v>449</v>
      </c>
    </row>
    <row r="4" spans="2:3">
      <c r="B4" s="1" t="s">
        <v>448</v>
      </c>
      <c r="C4" s="1" t="s">
        <v>450</v>
      </c>
    </row>
    <row r="5" spans="2:3">
      <c r="B5" s="1" t="s">
        <v>451</v>
      </c>
      <c r="C5" s="1" t="s">
        <v>450</v>
      </c>
    </row>
    <row r="6" spans="2:3">
      <c r="B6" s="1" t="s">
        <v>451</v>
      </c>
      <c r="C6" s="1" t="s">
        <v>452</v>
      </c>
    </row>
    <row r="7" spans="2:3">
      <c r="B7" s="1" t="s">
        <v>453</v>
      </c>
      <c r="C7" s="1" t="s">
        <v>452</v>
      </c>
    </row>
    <row r="8" spans="2:3">
      <c r="B8" s="1" t="s">
        <v>454</v>
      </c>
      <c r="C8" s="1" t="s">
        <v>450</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2025-10-19T15:23:34Z</dcterms:created>
  <dcterms:modified xsi:type="dcterms:W3CDTF">2026-02-21T09:24:05Z</dcterms:modified>
  <cp:category/>
  <cp:contentStatus/>
</cp:coreProperties>
</file>